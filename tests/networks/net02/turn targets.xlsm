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Michael\Documents\programming\projects\stesso\tests\networks\net02\"/>
    </mc:Choice>
  </mc:AlternateContent>
  <bookViews>
    <workbookView xWindow="0" yWindow="0" windowWidth="24000" windowHeight="9735" activeTab="4"/>
  </bookViews>
  <sheets>
    <sheet name="exported_turns" sheetId="1" r:id="rId1"/>
    <sheet name="turn_ids" sheetId="2" r:id="rId2"/>
    <sheet name="targets" sheetId="3" r:id="rId3"/>
    <sheet name="stesso results" sheetId="5" r:id="rId4"/>
    <sheet name="asgn vol" sheetId="4" r:id="rId5"/>
    <sheet name="pct of tgt" sheetId="6" r:id="rId6"/>
  </sheets>
  <definedNames>
    <definedName name="_xlnm._FilterDatabase" localSheetId="0" hidden="1">exported_turns!$A$1:$K$347</definedName>
    <definedName name="TURN_109_110_227" localSheetId="2">targets!$U$52</definedName>
    <definedName name="TURN_109_110_504" localSheetId="2">targets!$V$52</definedName>
    <definedName name="TURN_110_227_228" localSheetId="2">targets!$J$49</definedName>
    <definedName name="TURN_110_227_503" localSheetId="2">targets!$J$48</definedName>
    <definedName name="TURN_110_504_500" localSheetId="2">targets!$AD$53</definedName>
    <definedName name="TURN_110_504_505" localSheetId="2">targets!$AD$52</definedName>
    <definedName name="TURN_110_504_509" localSheetId="2">targets!$AD$51</definedName>
    <definedName name="TURN_112_113_224" localSheetId="2">targets!$U$38</definedName>
    <definedName name="TURN_112_113_509" localSheetId="2">targets!$V$38</definedName>
    <definedName name="TURN_113_224_225" localSheetId="2">targets!$J$35</definedName>
    <definedName name="TURN_113_224_508" localSheetId="2">targets!$J$34</definedName>
    <definedName name="TURN_113_509_320" localSheetId="2">targets!$AD$37</definedName>
    <definedName name="TURN_113_509_504" localSheetId="2">targets!$AD$39</definedName>
    <definedName name="TURN_113_509_510" localSheetId="2">targets!$AD$38</definedName>
    <definedName name="TURN_223_224_113" localSheetId="2">targets!$G$34</definedName>
    <definedName name="TURN_223_224_508" localSheetId="2">targets!$F$34</definedName>
    <definedName name="TURN_224_113_114" localSheetId="2">targets!$R$37</definedName>
    <definedName name="TURN_224_113_509" localSheetId="2">targets!$R$38</definedName>
    <definedName name="TURN_226_227_110" localSheetId="2">targets!$G$48</definedName>
    <definedName name="TURN_226_227_503" localSheetId="2">targets!$F$48</definedName>
    <definedName name="TURN_227_110_111" localSheetId="2">targets!$R$51</definedName>
    <definedName name="TURN_227_110_504" localSheetId="2">targets!$R$52</definedName>
    <definedName name="TURN_319_320_408" localSheetId="2">targets!$AD$25</definedName>
    <definedName name="TURN_319_320_509" localSheetId="2">targets!$AD$26</definedName>
    <definedName name="TURN_320_408_409" localSheetId="2">targets!$AG$14</definedName>
    <definedName name="TURN_320_408_513" localSheetId="2">targets!$AH$14</definedName>
    <definedName name="TURN_320_509_113" localSheetId="2">targets!$AC$34</definedName>
    <definedName name="TURN_320_509_504" localSheetId="2">targets!$AD$34</definedName>
    <definedName name="TURN_320_509_510" localSheetId="2">targets!$AE$34</definedName>
    <definedName name="TURN_322_323_405" localSheetId="2">targets!$AR$25</definedName>
    <definedName name="TURN_322_323_510" localSheetId="2">targets!$AR$26</definedName>
    <definedName name="TURN_323_405_406" localSheetId="2">targets!$AU$14</definedName>
    <definedName name="TURN_323_405_514" localSheetId="2">targets!$AV$14</definedName>
    <definedName name="TURN_323_510_505" localSheetId="2">targets!$AR$34</definedName>
    <definedName name="TURN_323_510_509" localSheetId="2">targets!$AQ$34</definedName>
    <definedName name="TURN_323_510_511" localSheetId="2">targets!$AS$34</definedName>
    <definedName name="TURN_325_326_402" localSheetId="2">targets!$BF$25</definedName>
    <definedName name="TURN_325_326_511" localSheetId="2">targets!$BF$26</definedName>
    <definedName name="TURN_326_402_403" localSheetId="2">targets!$BI$14</definedName>
    <definedName name="TURN_326_402_515" localSheetId="2">targets!$BJ$14</definedName>
    <definedName name="TURN_326_511_506" localSheetId="2">targets!$BF$34</definedName>
    <definedName name="TURN_326_511_510" localSheetId="2">targets!$BE$34</definedName>
    <definedName name="TURN_326_511_512" localSheetId="2">targets!$BG$34</definedName>
    <definedName name="TURN_401_402_326" localSheetId="2">targets!$BJ$11</definedName>
    <definedName name="TURN_401_402_515" localSheetId="2">targets!$BJ$10</definedName>
    <definedName name="TURN_402_326_327" localSheetId="2">targets!$BG$22</definedName>
    <definedName name="TURN_402_326_511" localSheetId="2">targets!$BF$22</definedName>
    <definedName name="TURN_404_405_323" localSheetId="2">targets!$AV$11</definedName>
    <definedName name="TURN_404_405_514" localSheetId="2">targets!$AV$10</definedName>
    <definedName name="TURN_405_323_324" localSheetId="2">targets!$AS$22</definedName>
    <definedName name="TURN_405_323_510" localSheetId="2">targets!$AR$22</definedName>
    <definedName name="TURN_407_408_320" localSheetId="2">targets!$AH$11</definedName>
    <definedName name="TURN_407_408_513" localSheetId="2">targets!$AH$10</definedName>
    <definedName name="TURN_408_320_321" localSheetId="2">targets!$AE$22</definedName>
    <definedName name="TURN_408_320_509" localSheetId="2">targets!$AD$22</definedName>
    <definedName name="TURN_500_504_110" localSheetId="2">targets!$AG$52</definedName>
    <definedName name="TURN_500_504_505" localSheetId="2">targets!$AI$52</definedName>
    <definedName name="TURN_500_504_509" localSheetId="2">targets!$AH$52</definedName>
    <definedName name="TURN_501_505_504" localSheetId="2">targets!$AU$52</definedName>
    <definedName name="TURN_501_505_506" localSheetId="2">targets!$AW$52</definedName>
    <definedName name="TURN_501_505_510" localSheetId="2">targets!$AV$52</definedName>
    <definedName name="TURN_502_506_505" localSheetId="2">targets!$BI$52</definedName>
    <definedName name="TURN_502_506_507" localSheetId="2">targets!$BK$52</definedName>
    <definedName name="TURN_502_506_511" localSheetId="2">targets!$BJ$52</definedName>
    <definedName name="TURN_503_227_110" localSheetId="2">targets!$F$51</definedName>
    <definedName name="TURN_503_227_228" localSheetId="2">targets!$F$52</definedName>
    <definedName name="TURN_504_110_111" localSheetId="2">targets!$V$48</definedName>
    <definedName name="TURN_504_110_227" localSheetId="2">targets!$V$49</definedName>
    <definedName name="TURN_504_505_501" localSheetId="2">targets!$AR$53</definedName>
    <definedName name="TURN_504_505_506" localSheetId="2">targets!$AR$52</definedName>
    <definedName name="TURN_504_505_510" localSheetId="2">targets!$AR$51</definedName>
    <definedName name="TURN_504_509_113" localSheetId="2">targets!$AG$38</definedName>
    <definedName name="TURN_504_509_320" localSheetId="2">targets!$AH$38</definedName>
    <definedName name="TURN_504_509_510" localSheetId="2">targets!$AI$38</definedName>
    <definedName name="TURN_505_504_110" localSheetId="2">targets!$AH$48</definedName>
    <definedName name="TURN_505_504_500" localSheetId="2">targets!$AH$49</definedName>
    <definedName name="TURN_505_504_509" localSheetId="2">targets!$AH$47</definedName>
    <definedName name="TURN_505_506_502" localSheetId="2">targets!$BF$53</definedName>
    <definedName name="TURN_505_506_507" localSheetId="2">targets!$BF$52</definedName>
    <definedName name="TURN_505_506_511" localSheetId="2">targets!$BF$51</definedName>
    <definedName name="TURN_505_510_323" localSheetId="2">targets!$AV$38</definedName>
    <definedName name="TURN_505_510_509" localSheetId="2">targets!$AU$38</definedName>
    <definedName name="TURN_505_510_511" localSheetId="2">targets!$AW$38</definedName>
    <definedName name="TURN_506_505_501" localSheetId="2">targets!$AV$49</definedName>
    <definedName name="TURN_506_505_504" localSheetId="2">targets!$AV$48</definedName>
    <definedName name="TURN_506_505_510" localSheetId="2">targets!$AV$47</definedName>
    <definedName name="TURN_506_511_326" localSheetId="2">targets!$BJ$38</definedName>
    <definedName name="TURN_506_511_510" localSheetId="2">targets!$BI$38</definedName>
    <definedName name="TURN_506_511_512" localSheetId="2">targets!$BK$38</definedName>
    <definedName name="TURN_507_506_502" localSheetId="2">targets!$BJ$49</definedName>
    <definedName name="TURN_507_506_505" localSheetId="2">targets!$BJ$48</definedName>
    <definedName name="TURN_507_506_511" localSheetId="2">targets!$BJ$47</definedName>
    <definedName name="TURN_508_224_113" localSheetId="2">targets!$F$37</definedName>
    <definedName name="TURN_508_224_225" localSheetId="2">targets!$F$38</definedName>
    <definedName name="TURN_509_113_114" localSheetId="2">targets!$V$34</definedName>
    <definedName name="TURN_509_113_224" localSheetId="2">targets!$V$35</definedName>
    <definedName name="TURN_509_320_321" localSheetId="2">targets!$AH$26</definedName>
    <definedName name="TURN_509_320_408" localSheetId="2">targets!$AG$26</definedName>
    <definedName name="TURN_509_504_110" localSheetId="2">targets!$AC$48</definedName>
    <definedName name="TURN_509_504_500" localSheetId="2">targets!$AD$48</definedName>
    <definedName name="TURN_509_504_505" localSheetId="2">targets!$AE$48</definedName>
    <definedName name="TURN_509_510_323" localSheetId="2">targets!$AR$37</definedName>
    <definedName name="TURN_509_510_505" localSheetId="2">targets!$AR$39</definedName>
    <definedName name="TURN_509_510_511" localSheetId="2">targets!$AR$38</definedName>
    <definedName name="TURN_510_323_324" localSheetId="2">targets!$AV$26</definedName>
    <definedName name="TURN_510_323_405" localSheetId="2">targets!$AU$26</definedName>
    <definedName name="TURN_510_505_501" localSheetId="2">targets!$AR$48</definedName>
    <definedName name="TURN_510_505_504" localSheetId="2">targets!$AQ$48</definedName>
    <definedName name="TURN_510_505_506" localSheetId="2">targets!$AS$48</definedName>
    <definedName name="TURN_510_509_113" localSheetId="2">targets!$AH$34</definedName>
    <definedName name="TURN_510_509_320" localSheetId="2">targets!$AH$33</definedName>
    <definedName name="TURN_510_509_504" localSheetId="2">targets!$AH$35</definedName>
    <definedName name="TURN_510_511_326" localSheetId="2">targets!$BF$37</definedName>
    <definedName name="TURN_510_511_506" localSheetId="2">targets!$BF$39</definedName>
    <definedName name="TURN_510_511_512" localSheetId="2">targets!$BF$38</definedName>
    <definedName name="TURN_511_326_327" localSheetId="2">targets!$BJ$26</definedName>
    <definedName name="TURN_511_326_402" localSheetId="2">targets!$BI$26</definedName>
    <definedName name="TURN_511_506_502" localSheetId="2">targets!$BF$48</definedName>
    <definedName name="TURN_511_506_505" localSheetId="2">targets!$BE$48</definedName>
    <definedName name="TURN_511_506_507" localSheetId="2">targets!$BG$48</definedName>
    <definedName name="TURN_511_510_323" localSheetId="2">targets!$AV$33</definedName>
    <definedName name="TURN_511_510_505" localSheetId="2">targets!$AV$35</definedName>
    <definedName name="TURN_511_510_509" localSheetId="2">targets!$AV$34</definedName>
    <definedName name="TURN_512_511_326" localSheetId="2">targets!$BJ$33</definedName>
    <definedName name="TURN_512_511_506" localSheetId="2">targets!$BJ$35</definedName>
    <definedName name="TURN_512_511_510" localSheetId="2">targets!$BJ$34</definedName>
    <definedName name="TURN_513_408_320" localSheetId="2">targets!$AE$10</definedName>
    <definedName name="TURN_513_408_409" localSheetId="2">targets!$AD$10</definedName>
    <definedName name="TURN_514_405_323" localSheetId="2">targets!$AS$10</definedName>
    <definedName name="TURN_514_405_406" localSheetId="2">targets!$AR$10</definedName>
    <definedName name="TURN_515_402_326" localSheetId="2">targets!$BG$10</definedName>
    <definedName name="TURN_515_402_403" localSheetId="2">targets!$BF$10</definedName>
  </definedNames>
  <calcPr calcId="152511"/>
</workbook>
</file>

<file path=xl/calcChain.xml><?xml version="1.0" encoding="utf-8"?>
<calcChain xmlns="http://schemas.openxmlformats.org/spreadsheetml/2006/main">
  <c r="H6" i="5" l="1"/>
  <c r="H7" i="5"/>
  <c r="H8" i="5"/>
  <c r="H9" i="5"/>
  <c r="H10" i="5"/>
  <c r="H11" i="5"/>
  <c r="H12" i="5"/>
  <c r="H13" i="5"/>
  <c r="H14" i="5"/>
  <c r="H15" i="5"/>
  <c r="H16" i="5"/>
  <c r="H17" i="5"/>
  <c r="H18" i="5"/>
  <c r="H19" i="5"/>
  <c r="H20" i="5"/>
  <c r="H21" i="5"/>
  <c r="H22" i="5"/>
  <c r="H23" i="5"/>
  <c r="H24" i="5"/>
  <c r="H25" i="5"/>
  <c r="H26" i="5"/>
  <c r="H27" i="5"/>
  <c r="H28" i="5"/>
  <c r="H29" i="5"/>
  <c r="H30" i="5"/>
  <c r="H31" i="5"/>
  <c r="H32" i="5"/>
  <c r="H33" i="5"/>
  <c r="H34" i="5"/>
  <c r="H35" i="5"/>
  <c r="H36" i="5"/>
  <c r="H37" i="5"/>
  <c r="H38" i="5"/>
  <c r="H39" i="5"/>
  <c r="H40" i="5"/>
  <c r="H41" i="5"/>
  <c r="H42" i="5"/>
  <c r="H43" i="5"/>
  <c r="H44" i="5"/>
  <c r="H45" i="5"/>
  <c r="H46" i="5"/>
  <c r="H47" i="5"/>
  <c r="H48" i="5"/>
  <c r="H49" i="5"/>
  <c r="H50" i="5"/>
  <c r="H51" i="5"/>
  <c r="H52" i="5"/>
  <c r="H53" i="5"/>
  <c r="H54" i="5"/>
  <c r="H55" i="5"/>
  <c r="H56" i="5"/>
  <c r="H57" i="5"/>
  <c r="H58" i="5"/>
  <c r="H59" i="5"/>
  <c r="H60" i="5"/>
  <c r="H61" i="5"/>
  <c r="H62" i="5"/>
  <c r="H63" i="5"/>
  <c r="H64" i="5"/>
  <c r="H65" i="5"/>
  <c r="H66" i="5"/>
  <c r="H67" i="5"/>
  <c r="H68" i="5"/>
  <c r="H69" i="5"/>
  <c r="H70" i="5"/>
  <c r="H71" i="5"/>
  <c r="H72" i="5"/>
  <c r="H73" i="5"/>
  <c r="H74" i="5"/>
  <c r="H75" i="5"/>
  <c r="H76" i="5"/>
  <c r="H77" i="5"/>
  <c r="H78" i="5"/>
  <c r="H79" i="5"/>
  <c r="H80" i="5"/>
  <c r="H81" i="5"/>
  <c r="H82" i="5"/>
  <c r="H83" i="5"/>
  <c r="H84" i="5"/>
  <c r="H85" i="5"/>
  <c r="H86" i="5"/>
  <c r="H87" i="5"/>
  <c r="H88" i="5"/>
  <c r="H89" i="5"/>
  <c r="H90" i="5"/>
  <c r="H91" i="5"/>
  <c r="H92" i="5"/>
  <c r="H93" i="5"/>
  <c r="H94" i="5"/>
  <c r="H95" i="5"/>
  <c r="H96" i="5"/>
  <c r="H97" i="5"/>
  <c r="H98" i="5"/>
  <c r="H99" i="5"/>
  <c r="H100" i="5"/>
  <c r="H101" i="5"/>
  <c r="H102" i="5"/>
  <c r="H103" i="5"/>
  <c r="H104" i="5"/>
  <c r="H105" i="5"/>
  <c r="H106" i="5"/>
  <c r="H107" i="5"/>
  <c r="H108" i="5"/>
  <c r="H109" i="5"/>
  <c r="H110" i="5"/>
  <c r="H111" i="5"/>
  <c r="H112" i="5"/>
  <c r="H113" i="5"/>
  <c r="H114" i="5"/>
  <c r="H115" i="5"/>
  <c r="H116" i="5"/>
  <c r="H117" i="5"/>
  <c r="H118" i="5"/>
  <c r="H119" i="5"/>
  <c r="H120" i="5"/>
  <c r="H121" i="5"/>
  <c r="H122" i="5"/>
  <c r="H123" i="5"/>
  <c r="H124" i="5"/>
  <c r="H125" i="5"/>
  <c r="H126" i="5"/>
  <c r="H127" i="5"/>
  <c r="H128" i="5"/>
  <c r="H129" i="5"/>
  <c r="H130" i="5"/>
  <c r="H131" i="5"/>
  <c r="H132" i="5"/>
  <c r="H133" i="5"/>
  <c r="H134" i="5"/>
  <c r="H135" i="5"/>
  <c r="H136" i="5"/>
  <c r="H137" i="5"/>
  <c r="H138" i="5"/>
  <c r="H139" i="5"/>
  <c r="H140" i="5"/>
  <c r="H141" i="5"/>
  <c r="H142" i="5"/>
  <c r="H143" i="5"/>
  <c r="H144" i="5"/>
  <c r="H145" i="5"/>
  <c r="H146" i="5"/>
  <c r="H147" i="5"/>
  <c r="H148" i="5"/>
  <c r="H149" i="5"/>
  <c r="H150" i="5"/>
  <c r="H151" i="5"/>
  <c r="H152" i="5"/>
  <c r="H153" i="5"/>
  <c r="H154" i="5"/>
  <c r="H155" i="5"/>
  <c r="H156" i="5"/>
  <c r="H157" i="5"/>
  <c r="H158" i="5"/>
  <c r="H159" i="5"/>
  <c r="H160" i="5"/>
  <c r="H161" i="5"/>
  <c r="H162" i="5"/>
  <c r="H163" i="5"/>
  <c r="H164" i="5"/>
  <c r="H165" i="5"/>
  <c r="H166" i="5"/>
  <c r="H167" i="5"/>
  <c r="H168" i="5"/>
  <c r="H169" i="5"/>
  <c r="H170" i="5"/>
  <c r="H171" i="5"/>
  <c r="H172" i="5"/>
  <c r="H173" i="5"/>
  <c r="H174" i="5"/>
  <c r="H175" i="5"/>
  <c r="H176" i="5"/>
  <c r="H177" i="5"/>
  <c r="H178" i="5"/>
  <c r="H179" i="5"/>
  <c r="H180" i="5"/>
  <c r="H181" i="5"/>
  <c r="H182" i="5"/>
  <c r="H183" i="5"/>
  <c r="H184" i="5"/>
  <c r="H185" i="5"/>
  <c r="H186" i="5"/>
  <c r="H187" i="5"/>
  <c r="H188" i="5"/>
  <c r="H189" i="5"/>
  <c r="H190" i="5"/>
  <c r="H191" i="5"/>
  <c r="H192" i="5"/>
  <c r="H193" i="5"/>
  <c r="H194" i="5"/>
  <c r="H195" i="5"/>
  <c r="H196" i="5"/>
  <c r="H197" i="5"/>
  <c r="H198" i="5"/>
  <c r="H199" i="5"/>
  <c r="H200" i="5"/>
  <c r="H201" i="5"/>
  <c r="H202" i="5"/>
  <c r="H203" i="5"/>
  <c r="H204" i="5"/>
  <c r="H205" i="5"/>
  <c r="H206" i="5"/>
  <c r="H207" i="5"/>
  <c r="H208" i="5"/>
  <c r="H209" i="5"/>
  <c r="H210" i="5"/>
  <c r="H211" i="5"/>
  <c r="H212" i="5"/>
  <c r="H213" i="5"/>
  <c r="H214" i="5"/>
  <c r="H215" i="5"/>
  <c r="H216" i="5"/>
  <c r="H217" i="5"/>
  <c r="H218" i="5"/>
  <c r="H219" i="5"/>
  <c r="H220" i="5"/>
  <c r="H221" i="5"/>
  <c r="H222" i="5"/>
  <c r="H223" i="5"/>
  <c r="H224" i="5"/>
  <c r="H225" i="5"/>
  <c r="H226" i="5"/>
  <c r="H227" i="5"/>
  <c r="H228" i="5"/>
  <c r="H229" i="5"/>
  <c r="H230" i="5"/>
  <c r="H231" i="5"/>
  <c r="H232" i="5"/>
  <c r="H233" i="5"/>
  <c r="H234" i="5"/>
  <c r="H235" i="5"/>
  <c r="H236" i="5"/>
  <c r="H237" i="5"/>
  <c r="H238" i="5"/>
  <c r="H239" i="5"/>
  <c r="H240" i="5"/>
  <c r="H241" i="5"/>
  <c r="H242" i="5"/>
  <c r="H243" i="5"/>
  <c r="H244" i="5"/>
  <c r="H245" i="5"/>
  <c r="H246" i="5"/>
  <c r="H247" i="5"/>
  <c r="H248" i="5"/>
  <c r="H249" i="5"/>
  <c r="H250" i="5"/>
  <c r="H251" i="5"/>
  <c r="H252" i="5"/>
  <c r="H253" i="5"/>
  <c r="H254" i="5"/>
  <c r="H255" i="5"/>
  <c r="H256" i="5"/>
  <c r="H257" i="5"/>
  <c r="H258" i="5"/>
  <c r="H259" i="5"/>
  <c r="H260" i="5"/>
  <c r="H261" i="5"/>
  <c r="H262" i="5"/>
  <c r="H263" i="5"/>
  <c r="H264" i="5"/>
  <c r="H265" i="5"/>
  <c r="H266" i="5"/>
  <c r="H267" i="5"/>
  <c r="H268" i="5"/>
  <c r="H269" i="5"/>
  <c r="H270" i="5"/>
  <c r="H271" i="5"/>
  <c r="H272" i="5"/>
  <c r="H273" i="5"/>
  <c r="H274" i="5"/>
  <c r="H275" i="5"/>
  <c r="H276" i="5"/>
  <c r="H277" i="5"/>
  <c r="H278" i="5"/>
  <c r="H279" i="5"/>
  <c r="H280" i="5"/>
  <c r="H281" i="5"/>
  <c r="H282" i="5"/>
  <c r="H283" i="5"/>
  <c r="H284" i="5"/>
  <c r="H285" i="5"/>
  <c r="H286" i="5"/>
  <c r="H287" i="5"/>
  <c r="H288" i="5"/>
  <c r="H289" i="5"/>
  <c r="H290" i="5"/>
  <c r="H291" i="5"/>
  <c r="H292" i="5"/>
  <c r="H293" i="5"/>
  <c r="H294" i="5"/>
  <c r="H295" i="5"/>
  <c r="H296" i="5"/>
  <c r="H297" i="5"/>
  <c r="H298" i="5"/>
  <c r="H299" i="5"/>
  <c r="H300" i="5"/>
  <c r="H301" i="5"/>
  <c r="H302" i="5"/>
  <c r="H303" i="5"/>
  <c r="H304" i="5"/>
  <c r="H305" i="5"/>
  <c r="H306" i="5"/>
  <c r="H307" i="5"/>
  <c r="H308" i="5"/>
  <c r="H309" i="5"/>
  <c r="H310" i="5"/>
  <c r="H311" i="5"/>
  <c r="H312" i="5"/>
  <c r="H313" i="5"/>
  <c r="H314" i="5"/>
  <c r="H315" i="5"/>
  <c r="H316" i="5"/>
  <c r="H317" i="5"/>
  <c r="H318" i="5"/>
  <c r="H319" i="5"/>
  <c r="H320" i="5"/>
  <c r="H321" i="5"/>
  <c r="H322" i="5"/>
  <c r="H323" i="5"/>
  <c r="H324" i="5"/>
  <c r="H325" i="5"/>
  <c r="H326" i="5"/>
  <c r="H327" i="5"/>
  <c r="H328" i="5"/>
  <c r="H329" i="5"/>
  <c r="H330" i="5"/>
  <c r="H331" i="5"/>
  <c r="H332" i="5"/>
  <c r="H333" i="5"/>
  <c r="H334" i="5"/>
  <c r="H335" i="5"/>
  <c r="H336" i="5"/>
  <c r="H337" i="5"/>
  <c r="H338" i="5"/>
  <c r="H339" i="5"/>
  <c r="H340" i="5"/>
  <c r="H341" i="5"/>
  <c r="H342" i="5"/>
  <c r="H343" i="5"/>
  <c r="H344" i="5"/>
  <c r="H345" i="5"/>
  <c r="H346" i="5"/>
  <c r="H347" i="5"/>
  <c r="H348" i="5"/>
  <c r="H349" i="5"/>
  <c r="H350" i="5"/>
  <c r="H351" i="5"/>
  <c r="G6" i="5" l="1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H2" i="1"/>
  <c r="H3" i="1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67" i="1"/>
  <c r="H68" i="1"/>
  <c r="H69" i="1"/>
  <c r="H70" i="1"/>
  <c r="H71" i="1"/>
  <c r="H72" i="1"/>
  <c r="H73" i="1"/>
  <c r="H74" i="1"/>
  <c r="H75" i="1"/>
  <c r="H76" i="1"/>
  <c r="H77" i="1"/>
  <c r="H78" i="1"/>
  <c r="H79" i="1"/>
  <c r="H80" i="1"/>
  <c r="H81" i="1"/>
  <c r="H82" i="1"/>
  <c r="H83" i="1"/>
  <c r="H84" i="1"/>
  <c r="H85" i="1"/>
  <c r="H86" i="1"/>
  <c r="H87" i="1"/>
  <c r="H88" i="1"/>
  <c r="H89" i="1"/>
  <c r="H90" i="1"/>
  <c r="H91" i="1"/>
  <c r="H92" i="1"/>
  <c r="H93" i="1"/>
  <c r="H94" i="1"/>
  <c r="H95" i="1"/>
  <c r="H96" i="1"/>
  <c r="H97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113" i="1"/>
  <c r="H114" i="1"/>
  <c r="H115" i="1"/>
  <c r="H116" i="1"/>
  <c r="H117" i="1"/>
  <c r="H118" i="1"/>
  <c r="H119" i="1"/>
  <c r="H120" i="1"/>
  <c r="H121" i="1"/>
  <c r="H122" i="1"/>
  <c r="H123" i="1"/>
  <c r="H124" i="1"/>
  <c r="H125" i="1"/>
  <c r="H126" i="1"/>
  <c r="H127" i="1"/>
  <c r="H128" i="1"/>
  <c r="H129" i="1"/>
  <c r="H130" i="1"/>
  <c r="H131" i="1"/>
  <c r="H132" i="1"/>
  <c r="H133" i="1"/>
  <c r="H134" i="1"/>
  <c r="H135" i="1"/>
  <c r="H136" i="1"/>
  <c r="H137" i="1"/>
  <c r="H138" i="1"/>
  <c r="H139" i="1"/>
  <c r="H140" i="1"/>
  <c r="H141" i="1"/>
  <c r="H142" i="1"/>
  <c r="H143" i="1"/>
  <c r="H144" i="1"/>
  <c r="H145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61" i="1"/>
  <c r="H162" i="1"/>
  <c r="H163" i="1"/>
  <c r="H164" i="1"/>
  <c r="H165" i="1"/>
  <c r="H166" i="1"/>
  <c r="H167" i="1"/>
  <c r="H168" i="1"/>
  <c r="H169" i="1"/>
  <c r="H170" i="1"/>
  <c r="H171" i="1"/>
  <c r="H172" i="1"/>
  <c r="H173" i="1"/>
  <c r="H174" i="1"/>
  <c r="H175" i="1"/>
  <c r="H176" i="1"/>
  <c r="H177" i="1"/>
  <c r="H178" i="1"/>
  <c r="H179" i="1"/>
  <c r="H180" i="1"/>
  <c r="H181" i="1"/>
  <c r="H182" i="1"/>
  <c r="H183" i="1"/>
  <c r="H184" i="1"/>
  <c r="H185" i="1"/>
  <c r="H186" i="1"/>
  <c r="H187" i="1"/>
  <c r="H188" i="1"/>
  <c r="H189" i="1"/>
  <c r="H190" i="1"/>
  <c r="H191" i="1"/>
  <c r="H192" i="1"/>
  <c r="H193" i="1"/>
  <c r="H194" i="1"/>
  <c r="H195" i="1"/>
  <c r="H196" i="1"/>
  <c r="H197" i="1"/>
  <c r="H198" i="1"/>
  <c r="H199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215" i="1"/>
  <c r="H216" i="1"/>
  <c r="H217" i="1"/>
  <c r="H218" i="1"/>
  <c r="H219" i="1"/>
  <c r="H220" i="1"/>
  <c r="H221" i="1"/>
  <c r="H222" i="1"/>
  <c r="H223" i="1"/>
  <c r="H224" i="1"/>
  <c r="H225" i="1"/>
  <c r="H226" i="1"/>
  <c r="H227" i="1"/>
  <c r="H228" i="1"/>
  <c r="H229" i="1"/>
  <c r="H230" i="1"/>
  <c r="H231" i="1"/>
  <c r="H232" i="1"/>
  <c r="H233" i="1"/>
  <c r="H234" i="1"/>
  <c r="H235" i="1"/>
  <c r="H236" i="1"/>
  <c r="H237" i="1"/>
  <c r="H238" i="1"/>
  <c r="H239" i="1"/>
  <c r="H240" i="1"/>
  <c r="H241" i="1"/>
  <c r="H242" i="1"/>
  <c r="H243" i="1"/>
  <c r="H244" i="1"/>
  <c r="H245" i="1"/>
  <c r="H246" i="1"/>
  <c r="H247" i="1"/>
  <c r="H248" i="1"/>
  <c r="H249" i="1"/>
  <c r="H250" i="1"/>
  <c r="H251" i="1"/>
  <c r="H252" i="1"/>
  <c r="H253" i="1"/>
  <c r="H254" i="1"/>
  <c r="H255" i="1"/>
  <c r="H256" i="1"/>
  <c r="H257" i="1"/>
  <c r="H258" i="1"/>
  <c r="H259" i="1"/>
  <c r="H260" i="1"/>
  <c r="H261" i="1"/>
  <c r="H262" i="1"/>
  <c r="H263" i="1"/>
  <c r="H264" i="1"/>
  <c r="H265" i="1"/>
  <c r="H266" i="1"/>
  <c r="H267" i="1"/>
  <c r="H268" i="1"/>
  <c r="H269" i="1"/>
  <c r="H270" i="1"/>
  <c r="H271" i="1"/>
  <c r="H272" i="1"/>
  <c r="H273" i="1"/>
  <c r="H274" i="1"/>
  <c r="H275" i="1"/>
  <c r="H276" i="1"/>
  <c r="H277" i="1"/>
  <c r="H278" i="1"/>
  <c r="H279" i="1"/>
  <c r="H280" i="1"/>
  <c r="H281" i="1"/>
  <c r="H282" i="1"/>
  <c r="H283" i="1"/>
  <c r="H284" i="1"/>
  <c r="H285" i="1"/>
  <c r="H286" i="1"/>
  <c r="H287" i="1"/>
  <c r="H288" i="1"/>
  <c r="H289" i="1"/>
  <c r="H290" i="1"/>
  <c r="H291" i="1"/>
  <c r="H292" i="1"/>
  <c r="H293" i="1"/>
  <c r="H294" i="1"/>
  <c r="H295" i="1"/>
  <c r="H296" i="1"/>
  <c r="H297" i="1"/>
  <c r="H298" i="1"/>
  <c r="H299" i="1"/>
  <c r="H300" i="1"/>
  <c r="H301" i="1"/>
  <c r="H302" i="1"/>
  <c r="H303" i="1"/>
  <c r="H304" i="1"/>
  <c r="H305" i="1"/>
  <c r="H306" i="1"/>
  <c r="H307" i="1"/>
  <c r="H308" i="1"/>
  <c r="H309" i="1"/>
  <c r="H310" i="1"/>
  <c r="H311" i="1"/>
  <c r="H312" i="1"/>
  <c r="H313" i="1"/>
  <c r="H314" i="1"/>
  <c r="H315" i="1"/>
  <c r="H316" i="1"/>
  <c r="H317" i="1"/>
  <c r="H318" i="1"/>
  <c r="H319" i="1"/>
  <c r="H320" i="1"/>
  <c r="H321" i="1"/>
  <c r="H322" i="1"/>
  <c r="H323" i="1"/>
  <c r="H324" i="1"/>
  <c r="H325" i="1"/>
  <c r="H326" i="1"/>
  <c r="H327" i="1"/>
  <c r="H328" i="1"/>
  <c r="H329" i="1"/>
  <c r="H330" i="1"/>
  <c r="H331" i="1"/>
  <c r="H332" i="1"/>
  <c r="H333" i="1"/>
  <c r="H334" i="1"/>
  <c r="H335" i="1"/>
  <c r="H336" i="1"/>
  <c r="H337" i="1"/>
  <c r="H338" i="1"/>
  <c r="H339" i="1"/>
  <c r="H340" i="1"/>
  <c r="H341" i="1"/>
  <c r="H342" i="1"/>
  <c r="H343" i="1"/>
  <c r="H344" i="1"/>
  <c r="H345" i="1"/>
  <c r="H346" i="1"/>
  <c r="H347" i="1"/>
  <c r="BF41" i="3"/>
  <c r="BA34" i="3"/>
  <c r="BA48" i="3"/>
  <c r="BJ55" i="3"/>
  <c r="AR41" i="3"/>
  <c r="AY38" i="3"/>
  <c r="AV41" i="3"/>
  <c r="AU42" i="3" s="1"/>
  <c r="AR55" i="3"/>
  <c r="AV43" i="3"/>
  <c r="AV55" i="3"/>
  <c r="AH55" i="3"/>
  <c r="Y52" i="3"/>
  <c r="O48" i="3"/>
  <c r="O52" i="3"/>
  <c r="F55" i="3"/>
  <c r="AM52" i="3"/>
  <c r="AA52" i="3"/>
  <c r="C52" i="3"/>
  <c r="AD55" i="3"/>
  <c r="AY48" i="3"/>
  <c r="AY52" i="3"/>
  <c r="AM48" i="3"/>
  <c r="AK52" i="3"/>
  <c r="AA48" i="3"/>
  <c r="Y48" i="3"/>
  <c r="M48" i="3"/>
  <c r="M52" i="3"/>
  <c r="AK48" i="3"/>
  <c r="V45" i="3"/>
  <c r="U44" i="3" s="1"/>
  <c r="F45" i="3"/>
  <c r="G44" i="3" s="1"/>
  <c r="AD43" i="3"/>
  <c r="AD41" i="3"/>
  <c r="BJ31" i="3"/>
  <c r="AH31" i="3"/>
  <c r="AH41" i="3"/>
  <c r="Y38" i="3"/>
  <c r="V41" i="3"/>
  <c r="O38" i="3"/>
  <c r="AA38" i="3"/>
  <c r="C38" i="3"/>
  <c r="F41" i="3"/>
  <c r="BM34" i="3"/>
  <c r="BN35" i="3" s="1"/>
  <c r="AM34" i="3"/>
  <c r="AK38" i="3"/>
  <c r="AA34" i="3"/>
  <c r="Y34" i="3"/>
  <c r="O34" i="3"/>
  <c r="M34" i="3"/>
  <c r="M38" i="3"/>
  <c r="C34" i="3"/>
  <c r="AY34" i="3"/>
  <c r="AK34" i="3"/>
  <c r="AV31" i="3"/>
  <c r="V31" i="3"/>
  <c r="U30" i="3" s="1"/>
  <c r="AR29" i="3"/>
  <c r="BJ29" i="3"/>
  <c r="AY26" i="3"/>
  <c r="AZ25" i="3" s="1"/>
  <c r="AV29" i="3"/>
  <c r="AO26" i="3"/>
  <c r="AH29" i="3"/>
  <c r="AG30" i="3" s="1"/>
  <c r="BC26" i="3"/>
  <c r="AA26" i="3"/>
  <c r="BM26" i="3"/>
  <c r="BN25" i="3" s="1"/>
  <c r="BF29" i="3"/>
  <c r="AR19" i="3"/>
  <c r="AK26" i="3"/>
  <c r="AL25" i="3" s="1"/>
  <c r="AD29" i="3"/>
  <c r="BJ19" i="3"/>
  <c r="AV19" i="3"/>
  <c r="AH19" i="3"/>
  <c r="AV17" i="3"/>
  <c r="BJ7" i="3"/>
  <c r="BI6" i="3" s="1"/>
  <c r="BJ17" i="3"/>
  <c r="AH7" i="3"/>
  <c r="AG6" i="3" s="1"/>
  <c r="AH17" i="3"/>
  <c r="BF17" i="3"/>
  <c r="AR17" i="3"/>
  <c r="AD17" i="3"/>
  <c r="BM10" i="3"/>
  <c r="BN11" i="3" s="1"/>
  <c r="BC10" i="3"/>
  <c r="AY10" i="3"/>
  <c r="AZ11" i="3" s="1"/>
  <c r="AO10" i="3"/>
  <c r="AK10" i="3"/>
  <c r="AL11" i="3" s="1"/>
  <c r="AD7" i="3"/>
  <c r="AE6" i="3" s="1"/>
  <c r="AA10" i="3"/>
  <c r="BF7" i="3"/>
  <c r="BG6" i="3" s="1"/>
  <c r="AV7" i="3"/>
  <c r="AU6" i="3" s="1"/>
  <c r="AR51" i="4" l="1"/>
  <c r="AR51" i="6" s="1"/>
  <c r="AS34" i="4"/>
  <c r="AS34" i="6" s="1"/>
  <c r="AR10" i="4"/>
  <c r="AR10" i="6" s="1"/>
  <c r="BI26" i="4"/>
  <c r="BI26" i="6" s="1"/>
  <c r="AR22" i="4"/>
  <c r="AR22" i="6" s="1"/>
  <c r="F34" i="4"/>
  <c r="F34" i="6" s="1"/>
  <c r="U38" i="4"/>
  <c r="U38" i="6" s="1"/>
  <c r="AH47" i="4"/>
  <c r="AH47" i="6" s="1"/>
  <c r="AD37" i="4"/>
  <c r="AD37" i="6" s="1"/>
  <c r="BJ38" i="4"/>
  <c r="BJ38" i="6" s="1"/>
  <c r="BG48" i="4"/>
  <c r="BG48" i="6" s="1"/>
  <c r="AV49" i="4"/>
  <c r="AV49" i="6" s="1"/>
  <c r="AW38" i="4"/>
  <c r="AW38" i="6" s="1"/>
  <c r="AH11" i="4"/>
  <c r="AH11" i="6" s="1"/>
  <c r="AS10" i="4"/>
  <c r="AS10" i="6" s="1"/>
  <c r="AV14" i="4"/>
  <c r="AV14" i="6" s="1"/>
  <c r="BG10" i="4"/>
  <c r="BG10" i="6" s="1"/>
  <c r="BJ26" i="4"/>
  <c r="BJ26" i="6" s="1"/>
  <c r="BF26" i="4"/>
  <c r="BF26" i="6" s="1"/>
  <c r="AS22" i="4"/>
  <c r="AS22" i="6" s="1"/>
  <c r="AH26" i="4"/>
  <c r="AH26" i="6" s="1"/>
  <c r="AD26" i="4"/>
  <c r="AD26" i="6" s="1"/>
  <c r="G34" i="4"/>
  <c r="G34" i="6" s="1"/>
  <c r="F52" i="4"/>
  <c r="F52" i="6" s="1"/>
  <c r="J49" i="4"/>
  <c r="J49" i="6" s="1"/>
  <c r="V38" i="4"/>
  <c r="V38" i="6" s="1"/>
  <c r="V49" i="4"/>
  <c r="V49" i="6" s="1"/>
  <c r="R52" i="4"/>
  <c r="R52" i="6" s="1"/>
  <c r="AD51" i="4"/>
  <c r="AD51" i="6" s="1"/>
  <c r="AH48" i="4"/>
  <c r="AH48" i="6" s="1"/>
  <c r="AI52" i="4"/>
  <c r="AI52" i="6" s="1"/>
  <c r="AC34" i="4"/>
  <c r="AC34" i="6" s="1"/>
  <c r="AD38" i="4"/>
  <c r="AD38" i="6" s="1"/>
  <c r="AI38" i="4"/>
  <c r="AI38" i="6" s="1"/>
  <c r="BE34" i="4"/>
  <c r="BE34" i="6" s="1"/>
  <c r="BF37" i="4"/>
  <c r="BF37" i="6" s="1"/>
  <c r="BJ49" i="4"/>
  <c r="BJ49" i="6" s="1"/>
  <c r="BF51" i="4"/>
  <c r="BF51" i="6" s="1"/>
  <c r="BJ52" i="4"/>
  <c r="BJ52" i="6" s="1"/>
  <c r="AW52" i="4"/>
  <c r="AW52" i="6" s="1"/>
  <c r="AQ48" i="4"/>
  <c r="AQ48" i="6" s="1"/>
  <c r="AR52" i="4"/>
  <c r="AR52" i="6" s="1"/>
  <c r="AR39" i="4"/>
  <c r="AR39" i="6" s="1"/>
  <c r="AQ34" i="4"/>
  <c r="AQ34" i="6" s="1"/>
  <c r="AU14" i="4"/>
  <c r="AU14" i="6" s="1"/>
  <c r="BF25" i="4"/>
  <c r="BF25" i="6" s="1"/>
  <c r="AG26" i="4"/>
  <c r="AG26" i="6" s="1"/>
  <c r="AH29" i="6" s="1"/>
  <c r="F51" i="4"/>
  <c r="V48" i="4"/>
  <c r="V48" i="6" s="1"/>
  <c r="Y48" i="6" s="1"/>
  <c r="AE48" i="4"/>
  <c r="AE48" i="6" s="1"/>
  <c r="AK52" i="6" s="1"/>
  <c r="AH35" i="4"/>
  <c r="AH35" i="6" s="1"/>
  <c r="AV35" i="4"/>
  <c r="AV35" i="6" s="1"/>
  <c r="BI52" i="4"/>
  <c r="BI52" i="6" s="1"/>
  <c r="AV52" i="4"/>
  <c r="AV52" i="6" s="1"/>
  <c r="AR38" i="4"/>
  <c r="AR38" i="6" s="1"/>
  <c r="AD10" i="4"/>
  <c r="AD10" i="6" s="1"/>
  <c r="AH14" i="4"/>
  <c r="AH14" i="6" s="1"/>
  <c r="AV10" i="4"/>
  <c r="AV10" i="6" s="1"/>
  <c r="BI14" i="4"/>
  <c r="BI14" i="6" s="1"/>
  <c r="BJ10" i="4"/>
  <c r="BJ10" i="6" s="1"/>
  <c r="BF22" i="4"/>
  <c r="BF22" i="6" s="1"/>
  <c r="AU26" i="4"/>
  <c r="AU26" i="6" s="1"/>
  <c r="AR25" i="4"/>
  <c r="AR25" i="6" s="1"/>
  <c r="AD22" i="4"/>
  <c r="AD22" i="6" s="1"/>
  <c r="J34" i="4"/>
  <c r="F37" i="4"/>
  <c r="F37" i="6" s="1"/>
  <c r="F48" i="4"/>
  <c r="F48" i="6" s="1"/>
  <c r="V34" i="4"/>
  <c r="V34" i="6" s="1"/>
  <c r="R37" i="4"/>
  <c r="R37" i="6" s="1"/>
  <c r="U52" i="4"/>
  <c r="U52" i="6" s="1"/>
  <c r="AC48" i="4"/>
  <c r="AC48" i="6" s="1"/>
  <c r="AD52" i="4"/>
  <c r="AD52" i="6" s="1"/>
  <c r="AH49" i="4"/>
  <c r="AH49" i="6" s="1"/>
  <c r="AH33" i="4"/>
  <c r="AH33" i="6" s="1"/>
  <c r="AD34" i="4"/>
  <c r="AD34" i="6" s="1"/>
  <c r="AD39" i="4"/>
  <c r="AD39" i="6" s="1"/>
  <c r="AV33" i="4"/>
  <c r="AV33" i="6" s="1"/>
  <c r="BF34" i="4"/>
  <c r="BF34" i="6" s="1"/>
  <c r="BF39" i="4"/>
  <c r="BF39" i="6" s="1"/>
  <c r="BE48" i="4"/>
  <c r="BE48" i="6" s="1"/>
  <c r="BF52" i="4"/>
  <c r="BF52" i="6" s="1"/>
  <c r="BK52" i="4"/>
  <c r="BK52" i="6" s="1"/>
  <c r="AV47" i="4"/>
  <c r="AV47" i="6" s="1"/>
  <c r="AR48" i="4"/>
  <c r="AR48" i="6" s="1"/>
  <c r="AR53" i="4"/>
  <c r="AR53" i="6" s="1"/>
  <c r="AU38" i="4"/>
  <c r="AU38" i="6" s="1"/>
  <c r="AR34" i="4"/>
  <c r="AR34" i="6" s="1"/>
  <c r="AH10" i="4"/>
  <c r="AH10" i="6" s="1"/>
  <c r="AK10" i="6" s="1"/>
  <c r="AL11" i="6" s="1"/>
  <c r="BF10" i="4"/>
  <c r="BF10" i="6" s="1"/>
  <c r="BF7" i="6" s="1"/>
  <c r="BG6" i="6" s="1"/>
  <c r="AD25" i="4"/>
  <c r="AD25" i="6" s="1"/>
  <c r="J48" i="4"/>
  <c r="J48" i="6" s="1"/>
  <c r="R51" i="4"/>
  <c r="R51" i="6" s="1"/>
  <c r="AH52" i="4"/>
  <c r="AH52" i="6" s="1"/>
  <c r="AH38" i="4"/>
  <c r="AH38" i="6" s="1"/>
  <c r="BJ48" i="4"/>
  <c r="BJ48" i="6" s="1"/>
  <c r="AE10" i="4"/>
  <c r="AE10" i="6" s="1"/>
  <c r="AG14" i="4"/>
  <c r="AV11" i="4"/>
  <c r="AV11" i="6" s="1"/>
  <c r="BJ14" i="4"/>
  <c r="BJ14" i="6" s="1"/>
  <c r="BJ7" i="6" s="1"/>
  <c r="BI6" i="6" s="1"/>
  <c r="BJ11" i="4"/>
  <c r="BJ11" i="6" s="1"/>
  <c r="BF17" i="6" s="1"/>
  <c r="BG22" i="4"/>
  <c r="AV26" i="4"/>
  <c r="AV26" i="6" s="1"/>
  <c r="AR26" i="4"/>
  <c r="AR26" i="6" s="1"/>
  <c r="AE22" i="4"/>
  <c r="AE22" i="6" s="1"/>
  <c r="AK26" i="6" s="1"/>
  <c r="AL25" i="6" s="1"/>
  <c r="J35" i="4"/>
  <c r="J35" i="6" s="1"/>
  <c r="F38" i="4"/>
  <c r="F38" i="6" s="1"/>
  <c r="G48" i="4"/>
  <c r="G48" i="6" s="1"/>
  <c r="V35" i="4"/>
  <c r="V35" i="6" s="1"/>
  <c r="R38" i="4"/>
  <c r="R38" i="6" s="1"/>
  <c r="Y38" i="6" s="1"/>
  <c r="V52" i="4"/>
  <c r="V52" i="6" s="1"/>
  <c r="AD48" i="4"/>
  <c r="AD48" i="6" s="1"/>
  <c r="AD53" i="4"/>
  <c r="AD53" i="6" s="1"/>
  <c r="AG52" i="4"/>
  <c r="AG52" i="6" s="1"/>
  <c r="AH34" i="4"/>
  <c r="AH34" i="6" s="1"/>
  <c r="AE34" i="4"/>
  <c r="AE34" i="6" s="1"/>
  <c r="AK38" i="6" s="1"/>
  <c r="AG38" i="4"/>
  <c r="AG38" i="6" s="1"/>
  <c r="AV34" i="4"/>
  <c r="AV34" i="6" s="1"/>
  <c r="BI38" i="4"/>
  <c r="BI38" i="6" s="1"/>
  <c r="BJ47" i="4"/>
  <c r="BJ47" i="6" s="1"/>
  <c r="BM48" i="6" s="1"/>
  <c r="BN49" i="6" s="1"/>
  <c r="BF48" i="4"/>
  <c r="BF48" i="6" s="1"/>
  <c r="BF53" i="4"/>
  <c r="BF53" i="6" s="1"/>
  <c r="AU52" i="4"/>
  <c r="AU52" i="6" s="1"/>
  <c r="AV48" i="4"/>
  <c r="AV48" i="6" s="1"/>
  <c r="AS48" i="4"/>
  <c r="AS48" i="6" s="1"/>
  <c r="AY52" i="6" s="1"/>
  <c r="AR37" i="4"/>
  <c r="AR37" i="6" s="1"/>
  <c r="AV38" i="4"/>
  <c r="AV38" i="6" s="1"/>
  <c r="Y38" i="4"/>
  <c r="AH7" i="4"/>
  <c r="AG6" i="4" s="1"/>
  <c r="BI18" i="3"/>
  <c r="BF43" i="3"/>
  <c r="BM52" i="3"/>
  <c r="BN51" i="3" s="1"/>
  <c r="BA38" i="3"/>
  <c r="AZ37" i="3" s="1"/>
  <c r="BM48" i="3"/>
  <c r="BN49" i="3" s="1"/>
  <c r="BA52" i="3"/>
  <c r="AZ51" i="3" s="1"/>
  <c r="BJ41" i="3"/>
  <c r="BM38" i="3"/>
  <c r="BN37" i="3" s="1"/>
  <c r="AZ49" i="3"/>
  <c r="BF55" i="3"/>
  <c r="AM38" i="3"/>
  <c r="AL37" i="3" s="1"/>
  <c r="AR31" i="3"/>
  <c r="AS30" i="3" s="1"/>
  <c r="BI30" i="3"/>
  <c r="BG42" i="3"/>
  <c r="AU30" i="3"/>
  <c r="AL35" i="3"/>
  <c r="AS18" i="3"/>
  <c r="AU18" i="3"/>
  <c r="Z35" i="3"/>
  <c r="AE42" i="3"/>
  <c r="AG18" i="3"/>
  <c r="N35" i="3"/>
  <c r="Z49" i="3"/>
  <c r="Z51" i="3"/>
  <c r="N51" i="3"/>
  <c r="N49" i="3"/>
  <c r="N37" i="3"/>
  <c r="Z37" i="3"/>
  <c r="AZ35" i="3"/>
  <c r="AL49" i="3"/>
  <c r="AL51" i="3"/>
  <c r="F31" i="3"/>
  <c r="G30" i="3" s="1"/>
  <c r="AD19" i="3"/>
  <c r="AE18" i="3" s="1"/>
  <c r="BF19" i="3"/>
  <c r="BG18" i="3" s="1"/>
  <c r="AH43" i="3"/>
  <c r="AG42" i="3" s="1"/>
  <c r="BJ43" i="3"/>
  <c r="C48" i="3"/>
  <c r="V55" i="3"/>
  <c r="AR7" i="3"/>
  <c r="AS6" i="3" s="1"/>
  <c r="AD31" i="3"/>
  <c r="AE30" i="3" s="1"/>
  <c r="BF31" i="3"/>
  <c r="BG30" i="3" s="1"/>
  <c r="AR43" i="3"/>
  <c r="AS42" i="3" s="1"/>
  <c r="BJ11" i="2"/>
  <c r="BJ10" i="2"/>
  <c r="BJ7" i="2" s="1"/>
  <c r="BI6" i="2" s="1"/>
  <c r="AV11" i="2"/>
  <c r="AV10" i="2"/>
  <c r="AY10" i="2" s="1"/>
  <c r="AZ11" i="2" s="1"/>
  <c r="AH11" i="2"/>
  <c r="AH10" i="2"/>
  <c r="BG10" i="2"/>
  <c r="BF17" i="2" s="1"/>
  <c r="BF10" i="2"/>
  <c r="BF7" i="2" s="1"/>
  <c r="BG6" i="2" s="1"/>
  <c r="AS10" i="2"/>
  <c r="AR10" i="2"/>
  <c r="AR7" i="2" s="1"/>
  <c r="AS6" i="2" s="1"/>
  <c r="AE10" i="2"/>
  <c r="AD17" i="2" s="1"/>
  <c r="AD10" i="2"/>
  <c r="AA10" i="2" s="1"/>
  <c r="BJ14" i="2"/>
  <c r="BI14" i="2"/>
  <c r="BJ17" i="2" s="1"/>
  <c r="AV14" i="2"/>
  <c r="AU14" i="2"/>
  <c r="AV17" i="2" s="1"/>
  <c r="AH14" i="2"/>
  <c r="AG14" i="2"/>
  <c r="BG22" i="2"/>
  <c r="BF22" i="2"/>
  <c r="BF29" i="2" s="1"/>
  <c r="AS22" i="2"/>
  <c r="AR22" i="2"/>
  <c r="AE22" i="2"/>
  <c r="AD22" i="2"/>
  <c r="AD29" i="2" s="1"/>
  <c r="BJ26" i="2"/>
  <c r="BI26" i="2"/>
  <c r="AV26" i="2"/>
  <c r="AU26" i="2"/>
  <c r="AV19" i="2" s="1"/>
  <c r="AH26" i="2"/>
  <c r="AG26" i="2"/>
  <c r="BF26" i="2"/>
  <c r="BF25" i="2"/>
  <c r="BC26" i="2" s="1"/>
  <c r="AR26" i="2"/>
  <c r="AR25" i="2"/>
  <c r="AO26" i="2" s="1"/>
  <c r="AD26" i="2"/>
  <c r="AD25" i="2"/>
  <c r="BG34" i="2"/>
  <c r="BG34" i="4" s="1"/>
  <c r="BG34" i="6" s="1"/>
  <c r="BF34" i="2"/>
  <c r="BE34" i="2"/>
  <c r="AQ34" i="2"/>
  <c r="AS34" i="2"/>
  <c r="AR34" i="2"/>
  <c r="BF38" i="2"/>
  <c r="BF38" i="4" s="1"/>
  <c r="BF38" i="6" s="1"/>
  <c r="BF39" i="2"/>
  <c r="BA38" i="2" s="1"/>
  <c r="BF37" i="2"/>
  <c r="AR39" i="2"/>
  <c r="AR38" i="2"/>
  <c r="AY38" i="2" s="1"/>
  <c r="AR37" i="2"/>
  <c r="AV31" i="2" s="1"/>
  <c r="BK38" i="2"/>
  <c r="BK38" i="4" s="1"/>
  <c r="BJ38" i="2"/>
  <c r="BI38" i="2"/>
  <c r="AU38" i="2"/>
  <c r="AV41" i="2" s="1"/>
  <c r="AW38" i="2"/>
  <c r="AV38" i="2"/>
  <c r="BJ35" i="2"/>
  <c r="BJ34" i="2"/>
  <c r="BJ34" i="4" s="1"/>
  <c r="BJ34" i="6" s="1"/>
  <c r="BJ33" i="2"/>
  <c r="BM34" i="2" s="1"/>
  <c r="BN35" i="2" s="1"/>
  <c r="AV34" i="2"/>
  <c r="AV35" i="2"/>
  <c r="AR41" i="2" s="1"/>
  <c r="AV33" i="2"/>
  <c r="AH35" i="2"/>
  <c r="AH33" i="2"/>
  <c r="AK34" i="2" s="1"/>
  <c r="AH34" i="2"/>
  <c r="AI38" i="2"/>
  <c r="AH38" i="2"/>
  <c r="AG38" i="2"/>
  <c r="AA34" i="2" s="1"/>
  <c r="AD39" i="2"/>
  <c r="AD37" i="2"/>
  <c r="AD38" i="2"/>
  <c r="AD34" i="2"/>
  <c r="AE34" i="2"/>
  <c r="AC34" i="2"/>
  <c r="R51" i="2"/>
  <c r="R37" i="2"/>
  <c r="R38" i="2"/>
  <c r="V38" i="2"/>
  <c r="U38" i="2"/>
  <c r="V41" i="2" s="1"/>
  <c r="V48" i="2"/>
  <c r="V34" i="2"/>
  <c r="V35" i="2"/>
  <c r="F38" i="2"/>
  <c r="F37" i="2"/>
  <c r="M38" i="2" s="1"/>
  <c r="G34" i="2"/>
  <c r="F34" i="2"/>
  <c r="J35" i="2"/>
  <c r="F41" i="2" s="1"/>
  <c r="J34" i="2"/>
  <c r="C34" i="2" s="1"/>
  <c r="J49" i="2"/>
  <c r="J48" i="2"/>
  <c r="G48" i="2"/>
  <c r="F48" i="2"/>
  <c r="F45" i="2" s="1"/>
  <c r="G44" i="2" s="1"/>
  <c r="F52" i="2"/>
  <c r="F55" i="2" s="1"/>
  <c r="F51" i="2"/>
  <c r="C52" i="2" s="1"/>
  <c r="M52" i="2"/>
  <c r="R52" i="2"/>
  <c r="V49" i="2"/>
  <c r="V52" i="2"/>
  <c r="U52" i="2"/>
  <c r="BG48" i="2"/>
  <c r="BF48" i="2"/>
  <c r="BE48" i="2"/>
  <c r="BF43" i="2" s="1"/>
  <c r="AS48" i="2"/>
  <c r="AQ48" i="2"/>
  <c r="AR43" i="2" s="1"/>
  <c r="AR48" i="2"/>
  <c r="BJ49" i="2"/>
  <c r="AV49" i="2"/>
  <c r="AR55" i="2" s="1"/>
  <c r="BJ48" i="2"/>
  <c r="AV48" i="2"/>
  <c r="BJ47" i="2"/>
  <c r="AV47" i="2"/>
  <c r="AH49" i="2"/>
  <c r="AH48" i="2"/>
  <c r="AH47" i="2"/>
  <c r="AE48" i="2"/>
  <c r="AD48" i="2"/>
  <c r="AC48" i="2"/>
  <c r="BK52" i="2"/>
  <c r="AW52" i="2"/>
  <c r="AI52" i="2"/>
  <c r="BJ52" i="2"/>
  <c r="AV52" i="2"/>
  <c r="AH52" i="2"/>
  <c r="AH55" i="2" s="1"/>
  <c r="BI52" i="2"/>
  <c r="AU52" i="2"/>
  <c r="AG52" i="2"/>
  <c r="AD52" i="2"/>
  <c r="AD53" i="2"/>
  <c r="AR53" i="2"/>
  <c r="BF53" i="2"/>
  <c r="BF55" i="2" s="1"/>
  <c r="BF52" i="2"/>
  <c r="AR52" i="2"/>
  <c r="BF51" i="2"/>
  <c r="AR51" i="2"/>
  <c r="AD51" i="2"/>
  <c r="Y52" i="2"/>
  <c r="M48" i="2"/>
  <c r="BJ29" i="2"/>
  <c r="BF19" i="2"/>
  <c r="BM10" i="2"/>
  <c r="BN11" i="2" s="1"/>
  <c r="BC10" i="2"/>
  <c r="AY26" i="2"/>
  <c r="AZ25" i="2" s="1"/>
  <c r="AR19" i="2"/>
  <c r="AR17" i="2"/>
  <c r="AV7" i="2"/>
  <c r="AU6" i="2" s="1"/>
  <c r="M34" i="2"/>
  <c r="F31" i="2"/>
  <c r="G30" i="2" s="1"/>
  <c r="O34" i="2"/>
  <c r="O38" i="2"/>
  <c r="Y38" i="2"/>
  <c r="AH17" i="2"/>
  <c r="AK10" i="2"/>
  <c r="AL11" i="2" s="1"/>
  <c r="AH7" i="2"/>
  <c r="AG6" i="2" s="1"/>
  <c r="AK26" i="2"/>
  <c r="AL25" i="2" s="1"/>
  <c r="BJ43" i="2"/>
  <c r="AR31" i="2"/>
  <c r="G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E3" i="1"/>
  <c r="E4" i="1"/>
  <c r="E5" i="1"/>
  <c r="E6" i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E206" i="1"/>
  <c r="E207" i="1"/>
  <c r="E208" i="1"/>
  <c r="E209" i="1"/>
  <c r="E210" i="1"/>
  <c r="E211" i="1"/>
  <c r="E212" i="1"/>
  <c r="E213" i="1"/>
  <c r="E214" i="1"/>
  <c r="E215" i="1"/>
  <c r="E216" i="1"/>
  <c r="E217" i="1"/>
  <c r="E218" i="1"/>
  <c r="E219" i="1"/>
  <c r="E220" i="1"/>
  <c r="E221" i="1"/>
  <c r="E222" i="1"/>
  <c r="E223" i="1"/>
  <c r="E224" i="1"/>
  <c r="E225" i="1"/>
  <c r="E226" i="1"/>
  <c r="E227" i="1"/>
  <c r="E228" i="1"/>
  <c r="E229" i="1"/>
  <c r="E230" i="1"/>
  <c r="E231" i="1"/>
  <c r="E232" i="1"/>
  <c r="E233" i="1"/>
  <c r="E234" i="1"/>
  <c r="E235" i="1"/>
  <c r="E236" i="1"/>
  <c r="E237" i="1"/>
  <c r="E238" i="1"/>
  <c r="E239" i="1"/>
  <c r="E240" i="1"/>
  <c r="E241" i="1"/>
  <c r="E242" i="1"/>
  <c r="E243" i="1"/>
  <c r="E244" i="1"/>
  <c r="E245" i="1"/>
  <c r="E246" i="1"/>
  <c r="E247" i="1"/>
  <c r="E248" i="1"/>
  <c r="E249" i="1"/>
  <c r="E250" i="1"/>
  <c r="E251" i="1"/>
  <c r="E252" i="1"/>
  <c r="E253" i="1"/>
  <c r="E254" i="1"/>
  <c r="E255" i="1"/>
  <c r="E256" i="1"/>
  <c r="E257" i="1"/>
  <c r="E258" i="1"/>
  <c r="E259" i="1"/>
  <c r="E260" i="1"/>
  <c r="E261" i="1"/>
  <c r="E262" i="1"/>
  <c r="E263" i="1"/>
  <c r="E264" i="1"/>
  <c r="E265" i="1"/>
  <c r="E266" i="1"/>
  <c r="E267" i="1"/>
  <c r="E268" i="1"/>
  <c r="E269" i="1"/>
  <c r="E270" i="1"/>
  <c r="E271" i="1"/>
  <c r="E272" i="1"/>
  <c r="E273" i="1"/>
  <c r="E274" i="1"/>
  <c r="E275" i="1"/>
  <c r="E276" i="1"/>
  <c r="E277" i="1"/>
  <c r="E278" i="1"/>
  <c r="E279" i="1"/>
  <c r="E280" i="1"/>
  <c r="E281" i="1"/>
  <c r="E282" i="1"/>
  <c r="E283" i="1"/>
  <c r="E284" i="1"/>
  <c r="E285" i="1"/>
  <c r="E286" i="1"/>
  <c r="E287" i="1"/>
  <c r="E288" i="1"/>
  <c r="E289" i="1"/>
  <c r="E290" i="1"/>
  <c r="E291" i="1"/>
  <c r="E292" i="1"/>
  <c r="E293" i="1"/>
  <c r="E294" i="1"/>
  <c r="E295" i="1"/>
  <c r="E296" i="1"/>
  <c r="E297" i="1"/>
  <c r="E298" i="1"/>
  <c r="E299" i="1"/>
  <c r="E300" i="1"/>
  <c r="E301" i="1"/>
  <c r="E302" i="1"/>
  <c r="E303" i="1"/>
  <c r="E304" i="1"/>
  <c r="E305" i="1"/>
  <c r="E306" i="1"/>
  <c r="E307" i="1"/>
  <c r="E308" i="1"/>
  <c r="E309" i="1"/>
  <c r="E310" i="1"/>
  <c r="E311" i="1"/>
  <c r="E312" i="1"/>
  <c r="E313" i="1"/>
  <c r="E314" i="1"/>
  <c r="E315" i="1"/>
  <c r="E316" i="1"/>
  <c r="E317" i="1"/>
  <c r="E318" i="1"/>
  <c r="E319" i="1"/>
  <c r="E320" i="1"/>
  <c r="E321" i="1"/>
  <c r="E322" i="1"/>
  <c r="E323" i="1"/>
  <c r="E324" i="1"/>
  <c r="E325" i="1"/>
  <c r="E326" i="1"/>
  <c r="E327" i="1"/>
  <c r="E328" i="1"/>
  <c r="E329" i="1"/>
  <c r="E330" i="1"/>
  <c r="E331" i="1"/>
  <c r="E332" i="1"/>
  <c r="E333" i="1"/>
  <c r="E334" i="1"/>
  <c r="E335" i="1"/>
  <c r="E336" i="1"/>
  <c r="E337" i="1"/>
  <c r="E338" i="1"/>
  <c r="E339" i="1"/>
  <c r="E340" i="1"/>
  <c r="E341" i="1"/>
  <c r="E342" i="1"/>
  <c r="E343" i="1"/>
  <c r="E344" i="1"/>
  <c r="E345" i="1"/>
  <c r="E346" i="1"/>
  <c r="E347" i="1"/>
  <c r="E2" i="1"/>
  <c r="BM26" i="4" l="1"/>
  <c r="BN25" i="4" s="1"/>
  <c r="BG22" i="6"/>
  <c r="BM26" i="6" s="1"/>
  <c r="BN25" i="6" s="1"/>
  <c r="AH41" i="6"/>
  <c r="AA34" i="6"/>
  <c r="V45" i="6"/>
  <c r="U44" i="6" s="1"/>
  <c r="O52" i="6"/>
  <c r="BF43" i="6"/>
  <c r="Y34" i="6"/>
  <c r="Z35" i="6" s="1"/>
  <c r="AD29" i="6"/>
  <c r="AD19" i="6"/>
  <c r="BM10" i="6"/>
  <c r="BN11" i="6" s="1"/>
  <c r="AD7" i="6"/>
  <c r="AE6" i="6" s="1"/>
  <c r="AR41" i="6"/>
  <c r="C52" i="4"/>
  <c r="F51" i="6"/>
  <c r="C52" i="6" s="1"/>
  <c r="AR31" i="6"/>
  <c r="BA38" i="6"/>
  <c r="AD31" i="6"/>
  <c r="AE30" i="6" s="1"/>
  <c r="Y52" i="6"/>
  <c r="AY26" i="6"/>
  <c r="AZ25" i="6" s="1"/>
  <c r="AV7" i="6"/>
  <c r="AU6" i="6" s="1"/>
  <c r="AR55" i="6"/>
  <c r="AK48" i="6"/>
  <c r="BJ29" i="6"/>
  <c r="M48" i="6"/>
  <c r="C48" i="6"/>
  <c r="AY48" i="6"/>
  <c r="AD43" i="6"/>
  <c r="F45" i="6"/>
  <c r="G44" i="6" s="1"/>
  <c r="AO26" i="6"/>
  <c r="AV19" i="6"/>
  <c r="BC10" i="6"/>
  <c r="BJ17" i="6"/>
  <c r="AD41" i="6"/>
  <c r="BA34" i="6"/>
  <c r="BF31" i="6"/>
  <c r="M38" i="6"/>
  <c r="BM52" i="6"/>
  <c r="BN51" i="6" s="1"/>
  <c r="O34" i="6"/>
  <c r="V41" i="6"/>
  <c r="AR7" i="6"/>
  <c r="AS6" i="6" s="1"/>
  <c r="AV55" i="6"/>
  <c r="AM48" i="6"/>
  <c r="AY10" i="6"/>
  <c r="AZ11" i="6" s="1"/>
  <c r="AR17" i="6"/>
  <c r="AA26" i="6"/>
  <c r="AH19" i="6"/>
  <c r="AM34" i="6"/>
  <c r="AV41" i="6"/>
  <c r="AK34" i="6"/>
  <c r="O48" i="6"/>
  <c r="V55" i="6"/>
  <c r="C38" i="6"/>
  <c r="AV29" i="6"/>
  <c r="BJ19" i="6"/>
  <c r="BC26" i="6"/>
  <c r="BA52" i="6"/>
  <c r="AZ51" i="6" s="1"/>
  <c r="BJ43" i="6"/>
  <c r="AD17" i="6"/>
  <c r="F31" i="6"/>
  <c r="G30" i="6" s="1"/>
  <c r="AY38" i="6"/>
  <c r="BJ41" i="4"/>
  <c r="BK38" i="6"/>
  <c r="BM38" i="6" s="1"/>
  <c r="BN37" i="6" s="1"/>
  <c r="AM38" i="6"/>
  <c r="AL37" i="6" s="1"/>
  <c r="AV31" i="6"/>
  <c r="AA48" i="6"/>
  <c r="AH55" i="6"/>
  <c r="F41" i="6"/>
  <c r="AH17" i="4"/>
  <c r="AG14" i="6"/>
  <c r="AY34" i="6"/>
  <c r="AZ35" i="6" s="1"/>
  <c r="AD55" i="6"/>
  <c r="V31" i="6"/>
  <c r="U30" i="6" s="1"/>
  <c r="O38" i="6"/>
  <c r="N37" i="6" s="1"/>
  <c r="C34" i="4"/>
  <c r="J34" i="6"/>
  <c r="BF29" i="6"/>
  <c r="BF19" i="6"/>
  <c r="BG18" i="6" s="1"/>
  <c r="AH7" i="6"/>
  <c r="AG6" i="6" s="1"/>
  <c r="BJ55" i="6"/>
  <c r="BA48" i="6"/>
  <c r="Z49" i="6"/>
  <c r="AV17" i="6"/>
  <c r="AU18" i="6" s="1"/>
  <c r="AO10" i="6"/>
  <c r="AR43" i="6"/>
  <c r="AS42" i="6" s="1"/>
  <c r="BF55" i="6"/>
  <c r="AA52" i="6"/>
  <c r="Z51" i="6" s="1"/>
  <c r="AH43" i="6"/>
  <c r="F55" i="6"/>
  <c r="AH31" i="6"/>
  <c r="AG30" i="6" s="1"/>
  <c r="AA38" i="6"/>
  <c r="Z37" i="6" s="1"/>
  <c r="AR29" i="6"/>
  <c r="AR19" i="6"/>
  <c r="AS18" i="6" s="1"/>
  <c r="AM52" i="6"/>
  <c r="AL51" i="6" s="1"/>
  <c r="AV43" i="6"/>
  <c r="AV19" i="4"/>
  <c r="V41" i="4"/>
  <c r="AR7" i="4"/>
  <c r="AS6" i="4" s="1"/>
  <c r="AY52" i="4"/>
  <c r="BF17" i="4"/>
  <c r="AD17" i="4"/>
  <c r="AK10" i="4"/>
  <c r="AL11" i="4" s="1"/>
  <c r="AD29" i="4"/>
  <c r="AR17" i="4"/>
  <c r="Y48" i="4"/>
  <c r="AV55" i="4"/>
  <c r="BA38" i="4"/>
  <c r="M52" i="4"/>
  <c r="BJ7" i="4"/>
  <c r="BI6" i="4" s="1"/>
  <c r="AD7" i="4"/>
  <c r="AE6" i="4" s="1"/>
  <c r="AR31" i="4"/>
  <c r="BA34" i="4"/>
  <c r="AD19" i="4"/>
  <c r="AE18" i="4" s="1"/>
  <c r="F41" i="4"/>
  <c r="AA10" i="4"/>
  <c r="BA52" i="4"/>
  <c r="AD55" i="4"/>
  <c r="AV17" i="4"/>
  <c r="AU18" i="4" s="1"/>
  <c r="F55" i="4"/>
  <c r="BF55" i="4"/>
  <c r="AK26" i="4"/>
  <c r="AL25" i="4" s="1"/>
  <c r="BF43" i="4"/>
  <c r="Y34" i="4"/>
  <c r="BM10" i="4"/>
  <c r="BN11" i="4" s="1"/>
  <c r="AR41" i="4"/>
  <c r="AD31" i="4"/>
  <c r="Y52" i="4"/>
  <c r="AY26" i="4"/>
  <c r="AZ25" i="4" s="1"/>
  <c r="AV7" i="4"/>
  <c r="AU6" i="4" s="1"/>
  <c r="AK48" i="4"/>
  <c r="BJ29" i="4"/>
  <c r="BM48" i="4"/>
  <c r="BN49" i="4" s="1"/>
  <c r="AK38" i="4"/>
  <c r="AY48" i="4"/>
  <c r="AO26" i="4"/>
  <c r="BJ17" i="4"/>
  <c r="AH29" i="4"/>
  <c r="AV29" i="4"/>
  <c r="BJ43" i="4"/>
  <c r="BI42" i="4" s="1"/>
  <c r="M34" i="4"/>
  <c r="BF19" i="4"/>
  <c r="BG18" i="4" s="1"/>
  <c r="AR55" i="4"/>
  <c r="AD43" i="4"/>
  <c r="F45" i="4"/>
  <c r="G44" i="4" s="1"/>
  <c r="AD41" i="4"/>
  <c r="BM52" i="4"/>
  <c r="BN51" i="4" s="1"/>
  <c r="O34" i="4"/>
  <c r="AV41" i="4"/>
  <c r="AK34" i="4"/>
  <c r="AY10" i="4"/>
  <c r="AZ11" i="4" s="1"/>
  <c r="AK52" i="4"/>
  <c r="F31" i="4"/>
  <c r="G30" i="4" s="1"/>
  <c r="AY38" i="4"/>
  <c r="AY34" i="4"/>
  <c r="AR43" i="4"/>
  <c r="AM52" i="4"/>
  <c r="AM48" i="4"/>
  <c r="AV43" i="4"/>
  <c r="AH41" i="4"/>
  <c r="AA34" i="4"/>
  <c r="V45" i="4"/>
  <c r="U44" i="4" s="1"/>
  <c r="O52" i="4"/>
  <c r="N51" i="4" s="1"/>
  <c r="AM34" i="4"/>
  <c r="C48" i="4"/>
  <c r="M48" i="4"/>
  <c r="BF29" i="4"/>
  <c r="AO10" i="4"/>
  <c r="AA26" i="4"/>
  <c r="AH19" i="4"/>
  <c r="AG18" i="4" s="1"/>
  <c r="O48" i="4"/>
  <c r="V55" i="4"/>
  <c r="M38" i="4"/>
  <c r="C38" i="4"/>
  <c r="BC26" i="4"/>
  <c r="BJ19" i="4"/>
  <c r="AM38" i="4"/>
  <c r="AV31" i="4"/>
  <c r="AH55" i="4"/>
  <c r="AA48" i="4"/>
  <c r="BC10" i="4"/>
  <c r="BF7" i="4"/>
  <c r="BG6" i="4" s="1"/>
  <c r="O38" i="4"/>
  <c r="V31" i="4"/>
  <c r="U30" i="4" s="1"/>
  <c r="BJ55" i="4"/>
  <c r="BA48" i="4"/>
  <c r="AH43" i="4"/>
  <c r="AA52" i="4"/>
  <c r="Z51" i="4" s="1"/>
  <c r="AH31" i="4"/>
  <c r="AA38" i="4"/>
  <c r="Z37" i="4" s="1"/>
  <c r="AR19" i="4"/>
  <c r="AS18" i="4" s="1"/>
  <c r="AR29" i="4"/>
  <c r="AS30" i="4" s="1"/>
  <c r="BF41" i="2"/>
  <c r="BJ35" i="4"/>
  <c r="BJ41" i="2"/>
  <c r="BF31" i="2"/>
  <c r="BG30" i="2" s="1"/>
  <c r="BJ31" i="2"/>
  <c r="BJ33" i="4"/>
  <c r="BJ33" i="6" s="1"/>
  <c r="BF31" i="4"/>
  <c r="BG30" i="4" s="1"/>
  <c r="BM38" i="4"/>
  <c r="BN37" i="4" s="1"/>
  <c r="BI42" i="3"/>
  <c r="AD55" i="2"/>
  <c r="AM48" i="2"/>
  <c r="C38" i="2"/>
  <c r="AO10" i="2"/>
  <c r="AV29" i="2"/>
  <c r="BJ19" i="2"/>
  <c r="AK52" i="2"/>
  <c r="O52" i="2"/>
  <c r="AY34" i="2"/>
  <c r="AV55" i="2"/>
  <c r="AH31" i="2"/>
  <c r="AA38" i="2"/>
  <c r="Z37" i="2" s="1"/>
  <c r="AA48" i="2"/>
  <c r="AY48" i="2"/>
  <c r="Y34" i="2"/>
  <c r="AK38" i="2"/>
  <c r="AL37" i="2" s="1"/>
  <c r="AR29" i="2"/>
  <c r="AH29" i="2"/>
  <c r="BG18" i="2"/>
  <c r="AS18" i="2"/>
  <c r="AD7" i="2"/>
  <c r="AE6" i="2" s="1"/>
  <c r="BI18" i="2"/>
  <c r="AU18" i="2"/>
  <c r="BM26" i="2"/>
  <c r="BN25" i="2" s="1"/>
  <c r="AD19" i="2"/>
  <c r="AE18" i="2" s="1"/>
  <c r="BI30" i="2"/>
  <c r="AU30" i="2"/>
  <c r="AG30" i="2"/>
  <c r="AS30" i="2"/>
  <c r="AA26" i="2"/>
  <c r="AH19" i="2"/>
  <c r="AG18" i="2" s="1"/>
  <c r="BM38" i="2"/>
  <c r="BN37" i="2" s="1"/>
  <c r="AM38" i="2"/>
  <c r="BI42" i="2"/>
  <c r="BA34" i="2"/>
  <c r="AZ35" i="2" s="1"/>
  <c r="AM34" i="2"/>
  <c r="AL35" i="2" s="1"/>
  <c r="BG42" i="2"/>
  <c r="AS42" i="2"/>
  <c r="AD41" i="2"/>
  <c r="AH41" i="2"/>
  <c r="AD31" i="2"/>
  <c r="AE30" i="2"/>
  <c r="Z35" i="2"/>
  <c r="V45" i="2"/>
  <c r="U44" i="2" s="1"/>
  <c r="N37" i="2"/>
  <c r="Y48" i="2"/>
  <c r="V31" i="2"/>
  <c r="U30" i="2" s="1"/>
  <c r="N35" i="2"/>
  <c r="C48" i="2"/>
  <c r="N51" i="2"/>
  <c r="O48" i="2"/>
  <c r="N49" i="2" s="1"/>
  <c r="V55" i="2"/>
  <c r="BM48" i="2"/>
  <c r="BN49" i="2" s="1"/>
  <c r="BA48" i="2"/>
  <c r="AZ49" i="2" s="1"/>
  <c r="AK48" i="2"/>
  <c r="AL49" i="2" s="1"/>
  <c r="AH43" i="2"/>
  <c r="AD43" i="2"/>
  <c r="BJ55" i="2"/>
  <c r="BM52" i="2"/>
  <c r="BN51" i="2" s="1"/>
  <c r="AY52" i="2"/>
  <c r="AZ51" i="2" s="1"/>
  <c r="Z49" i="2"/>
  <c r="BA52" i="2"/>
  <c r="AM52" i="2"/>
  <c r="AV43" i="2"/>
  <c r="AU42" i="2" s="1"/>
  <c r="AA52" i="2"/>
  <c r="Z51" i="2" s="1"/>
  <c r="AZ37" i="2"/>
  <c r="I71" i="1"/>
  <c r="I327" i="1"/>
  <c r="I108" i="1"/>
  <c r="I46" i="1"/>
  <c r="I169" i="1"/>
  <c r="I246" i="1"/>
  <c r="I272" i="1"/>
  <c r="I83" i="1"/>
  <c r="I339" i="1"/>
  <c r="I120" i="1"/>
  <c r="I90" i="1"/>
  <c r="I181" i="1"/>
  <c r="I290" i="1"/>
  <c r="I267" i="1"/>
  <c r="I240" i="1"/>
  <c r="I198" i="1"/>
  <c r="I262" i="1"/>
  <c r="I278" i="1"/>
  <c r="I292" i="1"/>
  <c r="I118" i="1"/>
  <c r="I334" i="1"/>
  <c r="I102" i="1"/>
  <c r="I86" i="1"/>
  <c r="I274" i="1"/>
  <c r="I291" i="1"/>
  <c r="I264" i="1"/>
  <c r="I346" i="1"/>
  <c r="I166" i="1"/>
  <c r="I20" i="1"/>
  <c r="I119" i="1"/>
  <c r="I94" i="1"/>
  <c r="I156" i="1"/>
  <c r="I202" i="1"/>
  <c r="I217" i="1"/>
  <c r="I43" i="1"/>
  <c r="I22" i="1"/>
  <c r="I131" i="1"/>
  <c r="I122" i="1"/>
  <c r="I168" i="1"/>
  <c r="I250" i="1"/>
  <c r="I229" i="1"/>
  <c r="I59" i="1"/>
  <c r="I315" i="1"/>
  <c r="I336" i="1"/>
  <c r="I132" i="1"/>
  <c r="I154" i="1"/>
  <c r="I178" i="1"/>
  <c r="I158" i="1"/>
  <c r="I270" i="1"/>
  <c r="I317" i="1"/>
  <c r="I289" i="1"/>
  <c r="I305" i="1"/>
  <c r="I6" i="1"/>
  <c r="I174" i="1"/>
  <c r="I185" i="1"/>
  <c r="I11" i="1"/>
  <c r="I200" i="1"/>
  <c r="I197" i="1"/>
  <c r="I219" i="1"/>
  <c r="I61" i="1"/>
  <c r="I18" i="1"/>
  <c r="I140" i="1"/>
  <c r="I320" i="1"/>
  <c r="I190" i="1"/>
  <c r="I304" i="1"/>
  <c r="I209" i="1"/>
  <c r="I26" i="1"/>
  <c r="I231" i="1"/>
  <c r="I280" i="1"/>
  <c r="I77" i="1"/>
  <c r="I330" i="1"/>
  <c r="I307" i="1"/>
  <c r="I237" i="1"/>
  <c r="I206" i="1"/>
  <c r="I9" i="1"/>
  <c r="I179" i="1"/>
  <c r="I277" i="1"/>
  <c r="I324" i="1"/>
  <c r="I271" i="1"/>
  <c r="I285" i="1"/>
  <c r="I73" i="1"/>
  <c r="I341" i="1"/>
  <c r="I337" i="1"/>
  <c r="I295" i="1"/>
  <c r="I88" i="1"/>
  <c r="I84" i="1"/>
  <c r="I308" i="1"/>
  <c r="I56" i="1"/>
  <c r="I160" i="1"/>
  <c r="I144" i="1"/>
  <c r="I311" i="1"/>
  <c r="I194" i="1"/>
  <c r="I323" i="1"/>
  <c r="I165" i="1"/>
  <c r="I208" i="1"/>
  <c r="I148" i="1"/>
  <c r="I189" i="1"/>
  <c r="I279" i="1"/>
  <c r="I133" i="1"/>
  <c r="I205" i="1"/>
  <c r="I152" i="1"/>
  <c r="I276" i="1"/>
  <c r="I243" i="1"/>
  <c r="I192" i="1"/>
  <c r="I204" i="1"/>
  <c r="I222" i="1"/>
  <c r="I12" i="1"/>
  <c r="I180" i="1"/>
  <c r="I157" i="1"/>
  <c r="I135" i="1"/>
  <c r="I134" i="1"/>
  <c r="I172" i="1"/>
  <c r="I258" i="1"/>
  <c r="I233" i="1"/>
  <c r="I331" i="1"/>
  <c r="I114" i="1"/>
  <c r="I147" i="1"/>
  <c r="I162" i="1"/>
  <c r="I184" i="1"/>
  <c r="I298" i="1"/>
  <c r="I245" i="1"/>
  <c r="I75" i="1"/>
  <c r="I347" i="1"/>
  <c r="I58" i="1"/>
  <c r="I342" i="1"/>
  <c r="I238" i="1"/>
  <c r="I52" i="1"/>
  <c r="I221" i="1"/>
  <c r="I151" i="1"/>
  <c r="I60" i="1"/>
  <c r="I57" i="1"/>
  <c r="I302" i="1"/>
  <c r="I35" i="1"/>
  <c r="I210" i="1"/>
  <c r="I142" i="1"/>
  <c r="I155" i="1"/>
  <c r="I223" i="1"/>
  <c r="I23" i="1"/>
  <c r="I183" i="1"/>
  <c r="I254" i="1"/>
  <c r="I220" i="1"/>
  <c r="I25" i="1"/>
  <c r="I281" i="1"/>
  <c r="I266" i="1"/>
  <c r="I45" i="1"/>
  <c r="I195" i="1"/>
  <c r="I282" i="1"/>
  <c r="I232" i="1"/>
  <c r="I37" i="1"/>
  <c r="I293" i="1"/>
  <c r="I123" i="1"/>
  <c r="I226" i="1"/>
  <c r="I13" i="1"/>
  <c r="I130" i="1"/>
  <c r="I111" i="1"/>
  <c r="I145" i="1"/>
  <c r="I49" i="1"/>
  <c r="I228" i="1"/>
  <c r="I318" i="1"/>
  <c r="I196" i="1"/>
  <c r="I129" i="1"/>
  <c r="I97" i="1"/>
  <c r="I124" i="1"/>
  <c r="I313" i="1"/>
  <c r="I163" i="1"/>
  <c r="I328" i="1"/>
  <c r="I325" i="1"/>
  <c r="I66" i="1"/>
  <c r="I4" i="1"/>
  <c r="I239" i="1"/>
  <c r="I150" i="1"/>
  <c r="I115" i="1"/>
  <c r="I213" i="1"/>
  <c r="I68" i="1"/>
  <c r="I79" i="1"/>
  <c r="I253" i="1"/>
  <c r="I268" i="1"/>
  <c r="I85" i="1"/>
  <c r="I244" i="1"/>
  <c r="I76" i="1"/>
  <c r="I344" i="1"/>
  <c r="I113" i="1"/>
  <c r="I167" i="1"/>
  <c r="I265" i="1"/>
  <c r="I242" i="1"/>
  <c r="I107" i="1"/>
  <c r="I47" i="1"/>
  <c r="I257" i="1"/>
  <c r="I335" i="1"/>
  <c r="I329" i="1"/>
  <c r="I48" i="1"/>
  <c r="I63" i="1"/>
  <c r="I332" i="1"/>
  <c r="I149" i="1"/>
  <c r="I62" i="1"/>
  <c r="I7" i="1"/>
  <c r="I300" i="1"/>
  <c r="I38" i="1"/>
  <c r="I19" i="1"/>
  <c r="I312" i="1"/>
  <c r="I70" i="1"/>
  <c r="I112" i="1"/>
  <c r="I301" i="1"/>
  <c r="I36" i="1"/>
  <c r="I343" i="1"/>
  <c r="I249" i="1"/>
  <c r="I136" i="1"/>
  <c r="I333" i="1"/>
  <c r="I92" i="1"/>
  <c r="I153" i="1"/>
  <c r="I67" i="1"/>
  <c r="I34" i="1"/>
  <c r="I251" i="1"/>
  <c r="I269" i="1"/>
  <c r="I191" i="1"/>
  <c r="I17" i="1"/>
  <c r="I314" i="1"/>
  <c r="I72" i="1"/>
  <c r="I256" i="1"/>
  <c r="I2" i="1"/>
  <c r="I319" i="1"/>
  <c r="I31" i="1"/>
  <c r="I176" i="1"/>
  <c r="I326" i="1"/>
  <c r="I241" i="1"/>
  <c r="I24" i="1"/>
  <c r="I51" i="1"/>
  <c r="I199" i="1"/>
  <c r="I294" i="1"/>
  <c r="I236" i="1"/>
  <c r="I41" i="1"/>
  <c r="I297" i="1"/>
  <c r="I338" i="1"/>
  <c r="I93" i="1"/>
  <c r="I211" i="1"/>
  <c r="I322" i="1"/>
  <c r="I248" i="1"/>
  <c r="I53" i="1"/>
  <c r="I309" i="1"/>
  <c r="I139" i="1"/>
  <c r="I306" i="1"/>
  <c r="I29" i="1"/>
  <c r="I173" i="1"/>
  <c r="I212" i="1"/>
  <c r="I218" i="1"/>
  <c r="I143" i="1"/>
  <c r="I215" i="1"/>
  <c r="I188" i="1"/>
  <c r="I121" i="1"/>
  <c r="I32" i="1"/>
  <c r="I99" i="1"/>
  <c r="I8" i="1"/>
  <c r="I69" i="1"/>
  <c r="I283" i="1"/>
  <c r="I65" i="1"/>
  <c r="I39" i="1"/>
  <c r="I247" i="1"/>
  <c r="I28" i="1"/>
  <c r="I284" i="1"/>
  <c r="I89" i="1"/>
  <c r="I345" i="1"/>
  <c r="I96" i="1"/>
  <c r="I3" i="1"/>
  <c r="I259" i="1"/>
  <c r="I40" i="1"/>
  <c r="I296" i="1"/>
  <c r="I101" i="1"/>
  <c r="I30" i="1"/>
  <c r="I187" i="1"/>
  <c r="I80" i="1"/>
  <c r="I95" i="1"/>
  <c r="I141" i="1"/>
  <c r="I74" i="1"/>
  <c r="I273" i="1"/>
  <c r="I321" i="1"/>
  <c r="I33" i="1"/>
  <c r="I310" i="1"/>
  <c r="I175" i="1"/>
  <c r="I255" i="1"/>
  <c r="I87" i="1"/>
  <c r="I316" i="1"/>
  <c r="I146" i="1"/>
  <c r="I42" i="1"/>
  <c r="I5" i="1"/>
  <c r="I126" i="1"/>
  <c r="I16" i="1"/>
  <c r="I260" i="1"/>
  <c r="I103" i="1"/>
  <c r="I201" i="1"/>
  <c r="I82" i="1"/>
  <c r="I27" i="1"/>
  <c r="I50" i="1"/>
  <c r="I193" i="1"/>
  <c r="I207" i="1"/>
  <c r="I64" i="1"/>
  <c r="I171" i="1"/>
  <c r="I100" i="1"/>
  <c r="I137" i="1"/>
  <c r="I235" i="1"/>
  <c r="I78" i="1"/>
  <c r="I214" i="1"/>
  <c r="I186" i="1"/>
  <c r="I216" i="1"/>
  <c r="I106" i="1"/>
  <c r="I340" i="1"/>
  <c r="I110" i="1"/>
  <c r="I225" i="1"/>
  <c r="I15" i="1"/>
  <c r="I109" i="1"/>
  <c r="I125" i="1"/>
  <c r="I138" i="1"/>
  <c r="I182" i="1"/>
  <c r="I127" i="1"/>
  <c r="I263" i="1"/>
  <c r="I44" i="1"/>
  <c r="I105" i="1"/>
  <c r="I128" i="1"/>
  <c r="I275" i="1"/>
  <c r="I117" i="1"/>
  <c r="I203" i="1"/>
  <c r="I159" i="1"/>
  <c r="I177" i="1"/>
  <c r="I116" i="1"/>
  <c r="I252" i="1"/>
  <c r="I227" i="1"/>
  <c r="I261" i="1"/>
  <c r="I55" i="1"/>
  <c r="I10" i="1"/>
  <c r="I224" i="1"/>
  <c r="I104" i="1"/>
  <c r="I234" i="1"/>
  <c r="I14" i="1"/>
  <c r="I170" i="1"/>
  <c r="I286" i="1"/>
  <c r="I81" i="1"/>
  <c r="I288" i="1"/>
  <c r="I91" i="1"/>
  <c r="I54" i="1"/>
  <c r="I299" i="1"/>
  <c r="I161" i="1"/>
  <c r="I98" i="1"/>
  <c r="I164" i="1"/>
  <c r="I21" i="1"/>
  <c r="I230" i="1"/>
  <c r="I303" i="1"/>
  <c r="I287" i="1"/>
  <c r="BJ41" i="6" l="1"/>
  <c r="BI42" i="6" s="1"/>
  <c r="AL49" i="6"/>
  <c r="AS30" i="6"/>
  <c r="AH17" i="6"/>
  <c r="AG18" i="6" s="1"/>
  <c r="AA10" i="6"/>
  <c r="BG30" i="6"/>
  <c r="BI18" i="6"/>
  <c r="N49" i="6"/>
  <c r="AG42" i="6"/>
  <c r="BF41" i="4"/>
  <c r="BG42" i="4" s="1"/>
  <c r="BJ35" i="6"/>
  <c r="BF41" i="6" s="1"/>
  <c r="BG42" i="6" s="1"/>
  <c r="AU30" i="6"/>
  <c r="AL35" i="6"/>
  <c r="AE42" i="6"/>
  <c r="M52" i="6"/>
  <c r="BJ31" i="6"/>
  <c r="BI30" i="6" s="1"/>
  <c r="AE18" i="6"/>
  <c r="N51" i="6"/>
  <c r="M34" i="6"/>
  <c r="N35" i="6" s="1"/>
  <c r="C34" i="6"/>
  <c r="AU42" i="6"/>
  <c r="AZ49" i="6"/>
  <c r="AZ37" i="6"/>
  <c r="AE30" i="4"/>
  <c r="AZ37" i="4"/>
  <c r="Z35" i="4"/>
  <c r="AZ51" i="4"/>
  <c r="Z49" i="4"/>
  <c r="BI18" i="4"/>
  <c r="AG30" i="4"/>
  <c r="J308" i="1"/>
  <c r="K308" i="1" s="1"/>
  <c r="J157" i="1"/>
  <c r="K157" i="1" s="1"/>
  <c r="J127" i="1"/>
  <c r="K127" i="1" s="1"/>
  <c r="J62" i="1"/>
  <c r="K62" i="1" s="1"/>
  <c r="J84" i="1"/>
  <c r="K84" i="1" s="1"/>
  <c r="J287" i="1"/>
  <c r="K287" i="1" s="1"/>
  <c r="J182" i="1"/>
  <c r="K182" i="1" s="1"/>
  <c r="J149" i="1"/>
  <c r="K149" i="1" s="1"/>
  <c r="J88" i="1"/>
  <c r="K88" i="1" s="1"/>
  <c r="J51" i="1"/>
  <c r="K51" i="1" s="1"/>
  <c r="J138" i="1"/>
  <c r="K138" i="1" s="1"/>
  <c r="J332" i="1"/>
  <c r="K332" i="1" s="1"/>
  <c r="J295" i="1"/>
  <c r="K295" i="1" s="1"/>
  <c r="J180" i="1"/>
  <c r="K180" i="1" s="1"/>
  <c r="J125" i="1"/>
  <c r="K125" i="1" s="1"/>
  <c r="J63" i="1"/>
  <c r="K63" i="1" s="1"/>
  <c r="J337" i="1"/>
  <c r="K337" i="1" s="1"/>
  <c r="J303" i="1"/>
  <c r="K303" i="1" s="1"/>
  <c r="J109" i="1"/>
  <c r="K109" i="1" s="1"/>
  <c r="J48" i="1"/>
  <c r="K48" i="1" s="1"/>
  <c r="J341" i="1"/>
  <c r="K341" i="1" s="1"/>
  <c r="J24" i="1"/>
  <c r="K24" i="1" s="1"/>
  <c r="J15" i="1"/>
  <c r="K15" i="1" s="1"/>
  <c r="J329" i="1"/>
  <c r="K329" i="1" s="1"/>
  <c r="J73" i="1"/>
  <c r="K73" i="1" s="1"/>
  <c r="J12" i="1"/>
  <c r="K12" i="1" s="1"/>
  <c r="J225" i="1"/>
  <c r="K225" i="1" s="1"/>
  <c r="J335" i="1"/>
  <c r="K335" i="1" s="1"/>
  <c r="J285" i="1"/>
  <c r="K285" i="1" s="1"/>
  <c r="J230" i="1"/>
  <c r="K230" i="1" s="1"/>
  <c r="J110" i="1"/>
  <c r="K110" i="1" s="1"/>
  <c r="J257" i="1"/>
  <c r="K257" i="1" s="1"/>
  <c r="J271" i="1"/>
  <c r="K271" i="1" s="1"/>
  <c r="J241" i="1"/>
  <c r="K241" i="1" s="1"/>
  <c r="J340" i="1"/>
  <c r="K340" i="1" s="1"/>
  <c r="J47" i="1"/>
  <c r="K47" i="1" s="1"/>
  <c r="J324" i="1"/>
  <c r="K324" i="1" s="1"/>
  <c r="J222" i="1"/>
  <c r="K222" i="1" s="1"/>
  <c r="J106" i="1"/>
  <c r="K106" i="1" s="1"/>
  <c r="J107" i="1"/>
  <c r="K107" i="1" s="1"/>
  <c r="J277" i="1"/>
  <c r="K277" i="1" s="1"/>
  <c r="J21" i="1"/>
  <c r="K21" i="1" s="1"/>
  <c r="J216" i="1"/>
  <c r="K216" i="1" s="1"/>
  <c r="J242" i="1"/>
  <c r="K242" i="1" s="1"/>
  <c r="J179" i="1"/>
  <c r="K179" i="1" s="1"/>
  <c r="J326" i="1"/>
  <c r="K326" i="1" s="1"/>
  <c r="J186" i="1"/>
  <c r="K186" i="1" s="1"/>
  <c r="J265" i="1"/>
  <c r="K265" i="1" s="1"/>
  <c r="J9" i="1"/>
  <c r="K9" i="1" s="1"/>
  <c r="J204" i="1"/>
  <c r="K204" i="1" s="1"/>
  <c r="J214" i="1"/>
  <c r="K214" i="1" s="1"/>
  <c r="J167" i="1"/>
  <c r="K167" i="1" s="1"/>
  <c r="J206" i="1"/>
  <c r="K206" i="1" s="1"/>
  <c r="J164" i="1"/>
  <c r="K164" i="1" s="1"/>
  <c r="J78" i="1"/>
  <c r="K78" i="1" s="1"/>
  <c r="J113" i="1"/>
  <c r="K113" i="1" s="1"/>
  <c r="J237" i="1"/>
  <c r="K237" i="1" s="1"/>
  <c r="J176" i="1"/>
  <c r="K176" i="1" s="1"/>
  <c r="J235" i="1"/>
  <c r="K235" i="1" s="1"/>
  <c r="J344" i="1"/>
  <c r="K344" i="1" s="1"/>
  <c r="J307" i="1"/>
  <c r="K307" i="1" s="1"/>
  <c r="J192" i="1"/>
  <c r="K192" i="1" s="1"/>
  <c r="J137" i="1"/>
  <c r="K137" i="1" s="1"/>
  <c r="J76" i="1"/>
  <c r="K76" i="1" s="1"/>
  <c r="J330" i="1"/>
  <c r="K330" i="1" s="1"/>
  <c r="J98" i="1"/>
  <c r="K98" i="1" s="1"/>
  <c r="J100" i="1"/>
  <c r="K100" i="1" s="1"/>
  <c r="J244" i="1"/>
  <c r="K244" i="1" s="1"/>
  <c r="J77" i="1"/>
  <c r="K77" i="1" s="1"/>
  <c r="J31" i="1"/>
  <c r="K31" i="1" s="1"/>
  <c r="J171" i="1"/>
  <c r="K171" i="1" s="1"/>
  <c r="J85" i="1"/>
  <c r="K85" i="1" s="1"/>
  <c r="J280" i="1"/>
  <c r="K280" i="1" s="1"/>
  <c r="J243" i="1"/>
  <c r="K243" i="1" s="1"/>
  <c r="J64" i="1"/>
  <c r="K64" i="1" s="1"/>
  <c r="J268" i="1"/>
  <c r="K268" i="1" s="1"/>
  <c r="J231" i="1"/>
  <c r="K231" i="1" s="1"/>
  <c r="J161" i="1"/>
  <c r="K161" i="1" s="1"/>
  <c r="J207" i="1"/>
  <c r="K207" i="1" s="1"/>
  <c r="J253" i="1"/>
  <c r="K253" i="1" s="1"/>
  <c r="J26" i="1"/>
  <c r="K26" i="1" s="1"/>
  <c r="J319" i="1"/>
  <c r="K319" i="1" s="1"/>
  <c r="J193" i="1"/>
  <c r="K193" i="1" s="1"/>
  <c r="J79" i="1"/>
  <c r="K79" i="1" s="1"/>
  <c r="J209" i="1"/>
  <c r="K209" i="1" s="1"/>
  <c r="J276" i="1"/>
  <c r="K276" i="1" s="1"/>
  <c r="J50" i="1"/>
  <c r="K50" i="1" s="1"/>
  <c r="J68" i="1"/>
  <c r="K68" i="1" s="1"/>
  <c r="J304" i="1"/>
  <c r="K304" i="1" s="1"/>
  <c r="J299" i="1"/>
  <c r="K299" i="1" s="1"/>
  <c r="J27" i="1"/>
  <c r="K27" i="1" s="1"/>
  <c r="J213" i="1"/>
  <c r="K213" i="1" s="1"/>
  <c r="J190" i="1"/>
  <c r="K190" i="1" s="1"/>
  <c r="J152" i="1"/>
  <c r="K152" i="1" s="1"/>
  <c r="J82" i="1"/>
  <c r="K82" i="1" s="1"/>
  <c r="J115" i="1"/>
  <c r="K115" i="1" s="1"/>
  <c r="J320" i="1"/>
  <c r="K320" i="1" s="1"/>
  <c r="J2" i="1"/>
  <c r="K2" i="1" s="1"/>
  <c r="J201" i="1"/>
  <c r="K201" i="1" s="1"/>
  <c r="J150" i="1"/>
  <c r="K150" i="1" s="1"/>
  <c r="J140" i="1"/>
  <c r="K140" i="1" s="1"/>
  <c r="J54" i="1"/>
  <c r="K54" i="1" s="1"/>
  <c r="J103" i="1"/>
  <c r="K103" i="1" s="1"/>
  <c r="J239" i="1"/>
  <c r="K239" i="1" s="1"/>
  <c r="J18" i="1"/>
  <c r="K18" i="1" s="1"/>
  <c r="J205" i="1"/>
  <c r="K205" i="1" s="1"/>
  <c r="J260" i="1"/>
  <c r="K260" i="1" s="1"/>
  <c r="J4" i="1"/>
  <c r="K4" i="1" s="1"/>
  <c r="J61" i="1"/>
  <c r="K61" i="1" s="1"/>
  <c r="J256" i="1"/>
  <c r="K256" i="1" s="1"/>
  <c r="J16" i="1"/>
  <c r="K16" i="1" s="1"/>
  <c r="J66" i="1"/>
  <c r="K66" i="1" s="1"/>
  <c r="J219" i="1"/>
  <c r="K219" i="1" s="1"/>
  <c r="J91" i="1"/>
  <c r="K91" i="1" s="1"/>
  <c r="J126" i="1"/>
  <c r="K126" i="1" s="1"/>
  <c r="J325" i="1"/>
  <c r="K325" i="1" s="1"/>
  <c r="J197" i="1"/>
  <c r="K197" i="1" s="1"/>
  <c r="J133" i="1"/>
  <c r="K133" i="1" s="1"/>
  <c r="J5" i="1"/>
  <c r="K5" i="1" s="1"/>
  <c r="J328" i="1"/>
  <c r="K328" i="1" s="1"/>
  <c r="J200" i="1"/>
  <c r="K200" i="1" s="1"/>
  <c r="J72" i="1"/>
  <c r="K72" i="1" s="1"/>
  <c r="J42" i="1"/>
  <c r="K42" i="1" s="1"/>
  <c r="J163" i="1"/>
  <c r="K163" i="1" s="1"/>
  <c r="J11" i="1"/>
  <c r="K11" i="1" s="1"/>
  <c r="J288" i="1"/>
  <c r="K288" i="1" s="1"/>
  <c r="J146" i="1"/>
  <c r="K146" i="1" s="1"/>
  <c r="J313" i="1"/>
  <c r="K313" i="1" s="1"/>
  <c r="J185" i="1"/>
  <c r="K185" i="1" s="1"/>
  <c r="J314" i="1"/>
  <c r="K314" i="1" s="1"/>
  <c r="J316" i="1"/>
  <c r="K316" i="1" s="1"/>
  <c r="J124" i="1"/>
  <c r="K124" i="1" s="1"/>
  <c r="J174" i="1"/>
  <c r="K174" i="1" s="1"/>
  <c r="J279" i="1"/>
  <c r="K279" i="1" s="1"/>
  <c r="J87" i="1"/>
  <c r="K87" i="1" s="1"/>
  <c r="J97" i="1"/>
  <c r="K97" i="1" s="1"/>
  <c r="J6" i="1"/>
  <c r="K6" i="1" s="1"/>
  <c r="J81" i="1"/>
  <c r="K81" i="1" s="1"/>
  <c r="J255" i="1"/>
  <c r="K255" i="1" s="1"/>
  <c r="J129" i="1"/>
  <c r="K129" i="1" s="1"/>
  <c r="J305" i="1"/>
  <c r="K305" i="1" s="1"/>
  <c r="J17" i="1"/>
  <c r="K17" i="1" s="1"/>
  <c r="J175" i="1"/>
  <c r="K175" i="1" s="1"/>
  <c r="J196" i="1"/>
  <c r="K196" i="1" s="1"/>
  <c r="J289" i="1"/>
  <c r="K289" i="1" s="1"/>
  <c r="J286" i="1"/>
  <c r="K286" i="1" s="1"/>
  <c r="J310" i="1"/>
  <c r="K310" i="1" s="1"/>
  <c r="J318" i="1"/>
  <c r="K318" i="1" s="1"/>
  <c r="J317" i="1"/>
  <c r="K317" i="1" s="1"/>
  <c r="J189" i="1"/>
  <c r="K189" i="1" s="1"/>
  <c r="J33" i="1"/>
  <c r="K33" i="1" s="1"/>
  <c r="J228" i="1"/>
  <c r="K228" i="1" s="1"/>
  <c r="J270" i="1"/>
  <c r="K270" i="1" s="1"/>
  <c r="J191" i="1"/>
  <c r="K191" i="1" s="1"/>
  <c r="J321" i="1"/>
  <c r="K321" i="1" s="1"/>
  <c r="J49" i="1"/>
  <c r="K49" i="1" s="1"/>
  <c r="J158" i="1"/>
  <c r="K158" i="1" s="1"/>
  <c r="J170" i="1"/>
  <c r="K170" i="1" s="1"/>
  <c r="J273" i="1"/>
  <c r="K273" i="1" s="1"/>
  <c r="J145" i="1"/>
  <c r="K145" i="1" s="1"/>
  <c r="J178" i="1"/>
  <c r="K178" i="1" s="1"/>
  <c r="J148" i="1"/>
  <c r="K148" i="1" s="1"/>
  <c r="J74" i="1"/>
  <c r="K74" i="1" s="1"/>
  <c r="J111" i="1"/>
  <c r="K111" i="1" s="1"/>
  <c r="J154" i="1"/>
  <c r="K154" i="1" s="1"/>
  <c r="J269" i="1"/>
  <c r="K269" i="1" s="1"/>
  <c r="J141" i="1"/>
  <c r="K141" i="1" s="1"/>
  <c r="J130" i="1"/>
  <c r="K130" i="1" s="1"/>
  <c r="J132" i="1"/>
  <c r="K132" i="1" s="1"/>
  <c r="J14" i="1"/>
  <c r="K14" i="1" s="1"/>
  <c r="J95" i="1"/>
  <c r="K95" i="1" s="1"/>
  <c r="J13" i="1"/>
  <c r="K13" i="1" s="1"/>
  <c r="J336" i="1"/>
  <c r="K336" i="1" s="1"/>
  <c r="J208" i="1"/>
  <c r="K208" i="1" s="1"/>
  <c r="J80" i="1"/>
  <c r="K80" i="1" s="1"/>
  <c r="J226" i="1"/>
  <c r="K226" i="1" s="1"/>
  <c r="J315" i="1"/>
  <c r="K315" i="1" s="1"/>
  <c r="J251" i="1"/>
  <c r="K251" i="1" s="1"/>
  <c r="J187" i="1"/>
  <c r="K187" i="1" s="1"/>
  <c r="J123" i="1"/>
  <c r="K123" i="1" s="1"/>
  <c r="J59" i="1"/>
  <c r="K59" i="1" s="1"/>
  <c r="J234" i="1"/>
  <c r="K234" i="1" s="1"/>
  <c r="J30" i="1"/>
  <c r="K30" i="1" s="1"/>
  <c r="J293" i="1"/>
  <c r="K293" i="1" s="1"/>
  <c r="J229" i="1"/>
  <c r="K229" i="1" s="1"/>
  <c r="J165" i="1"/>
  <c r="K165" i="1" s="1"/>
  <c r="J101" i="1"/>
  <c r="K101" i="1" s="1"/>
  <c r="J37" i="1"/>
  <c r="K37" i="1" s="1"/>
  <c r="J250" i="1"/>
  <c r="K250" i="1" s="1"/>
  <c r="J34" i="1"/>
  <c r="K34" i="1" s="1"/>
  <c r="J296" i="1"/>
  <c r="K296" i="1" s="1"/>
  <c r="J232" i="1"/>
  <c r="K232" i="1" s="1"/>
  <c r="J168" i="1"/>
  <c r="K168" i="1" s="1"/>
  <c r="J104" i="1"/>
  <c r="K104" i="1" s="1"/>
  <c r="J40" i="1"/>
  <c r="K40" i="1" s="1"/>
  <c r="J282" i="1"/>
  <c r="K282" i="1" s="1"/>
  <c r="J122" i="1"/>
  <c r="K122" i="1" s="1"/>
  <c r="J323" i="1"/>
  <c r="K323" i="1" s="1"/>
  <c r="J259" i="1"/>
  <c r="K259" i="1" s="1"/>
  <c r="J195" i="1"/>
  <c r="K195" i="1" s="1"/>
  <c r="J131" i="1"/>
  <c r="K131" i="1" s="1"/>
  <c r="J67" i="1"/>
  <c r="K67" i="1" s="1"/>
  <c r="J3" i="1"/>
  <c r="K3" i="1" s="1"/>
  <c r="J45" i="1"/>
  <c r="K45" i="1" s="1"/>
  <c r="J22" i="1"/>
  <c r="K22" i="1" s="1"/>
  <c r="J224" i="1"/>
  <c r="K224" i="1" s="1"/>
  <c r="J96" i="1"/>
  <c r="K96" i="1" s="1"/>
  <c r="J266" i="1"/>
  <c r="K266" i="1" s="1"/>
  <c r="J43" i="1"/>
  <c r="K43" i="1" s="1"/>
  <c r="J194" i="1"/>
  <c r="K194" i="1" s="1"/>
  <c r="J345" i="1"/>
  <c r="K345" i="1" s="1"/>
  <c r="J281" i="1"/>
  <c r="K281" i="1" s="1"/>
  <c r="J217" i="1"/>
  <c r="K217" i="1" s="1"/>
  <c r="J153" i="1"/>
  <c r="K153" i="1" s="1"/>
  <c r="J89" i="1"/>
  <c r="K89" i="1" s="1"/>
  <c r="J25" i="1"/>
  <c r="K25" i="1" s="1"/>
  <c r="J202" i="1"/>
  <c r="K202" i="1" s="1"/>
  <c r="J10" i="1"/>
  <c r="K10" i="1" s="1"/>
  <c r="J284" i="1"/>
  <c r="K284" i="1" s="1"/>
  <c r="J220" i="1"/>
  <c r="K220" i="1" s="1"/>
  <c r="J156" i="1"/>
  <c r="K156" i="1" s="1"/>
  <c r="J92" i="1"/>
  <c r="K92" i="1" s="1"/>
  <c r="J28" i="1"/>
  <c r="K28" i="1" s="1"/>
  <c r="J254" i="1"/>
  <c r="K254" i="1" s="1"/>
  <c r="J94" i="1"/>
  <c r="K94" i="1" s="1"/>
  <c r="J311" i="1"/>
  <c r="K311" i="1" s="1"/>
  <c r="J247" i="1"/>
  <c r="K247" i="1" s="1"/>
  <c r="J183" i="1"/>
  <c r="K183" i="1" s="1"/>
  <c r="J119" i="1"/>
  <c r="K119" i="1" s="1"/>
  <c r="J55" i="1"/>
  <c r="K55" i="1" s="1"/>
  <c r="J39" i="1"/>
  <c r="K39" i="1" s="1"/>
  <c r="J23" i="1"/>
  <c r="K23" i="1" s="1"/>
  <c r="J20" i="1"/>
  <c r="K20" i="1" s="1"/>
  <c r="J333" i="1"/>
  <c r="K333" i="1" s="1"/>
  <c r="J65" i="1"/>
  <c r="K65" i="1" s="1"/>
  <c r="J223" i="1"/>
  <c r="K223" i="1" s="1"/>
  <c r="J166" i="1"/>
  <c r="K166" i="1" s="1"/>
  <c r="J144" i="1"/>
  <c r="K144" i="1" s="1"/>
  <c r="J283" i="1"/>
  <c r="K283" i="1" s="1"/>
  <c r="J155" i="1"/>
  <c r="K155" i="1" s="1"/>
  <c r="J346" i="1"/>
  <c r="K346" i="1" s="1"/>
  <c r="J261" i="1"/>
  <c r="K261" i="1" s="1"/>
  <c r="J69" i="1"/>
  <c r="K69" i="1" s="1"/>
  <c r="J142" i="1"/>
  <c r="K142" i="1" s="1"/>
  <c r="J264" i="1"/>
  <c r="K264" i="1" s="1"/>
  <c r="J136" i="1"/>
  <c r="K136" i="1" s="1"/>
  <c r="J8" i="1"/>
  <c r="K8" i="1" s="1"/>
  <c r="J210" i="1"/>
  <c r="K210" i="1" s="1"/>
  <c r="J291" i="1"/>
  <c r="K291" i="1" s="1"/>
  <c r="J227" i="1"/>
  <c r="K227" i="1" s="1"/>
  <c r="J99" i="1"/>
  <c r="K99" i="1" s="1"/>
  <c r="J35" i="1"/>
  <c r="K35" i="1" s="1"/>
  <c r="J274" i="1"/>
  <c r="K274" i="1" s="1"/>
  <c r="J160" i="1"/>
  <c r="K160" i="1" s="1"/>
  <c r="J32" i="1"/>
  <c r="K32" i="1" s="1"/>
  <c r="J302" i="1"/>
  <c r="K302" i="1" s="1"/>
  <c r="J86" i="1"/>
  <c r="K86" i="1" s="1"/>
  <c r="J249" i="1"/>
  <c r="K249" i="1" s="1"/>
  <c r="J121" i="1"/>
  <c r="K121" i="1" s="1"/>
  <c r="J57" i="1"/>
  <c r="K57" i="1" s="1"/>
  <c r="J102" i="1"/>
  <c r="K102" i="1" s="1"/>
  <c r="J252" i="1"/>
  <c r="K252" i="1" s="1"/>
  <c r="J188" i="1"/>
  <c r="K188" i="1" s="1"/>
  <c r="J60" i="1"/>
  <c r="K60" i="1" s="1"/>
  <c r="J334" i="1"/>
  <c r="K334" i="1" s="1"/>
  <c r="J343" i="1"/>
  <c r="K343" i="1" s="1"/>
  <c r="J215" i="1"/>
  <c r="K215" i="1" s="1"/>
  <c r="J151" i="1"/>
  <c r="K151" i="1" s="1"/>
  <c r="J118" i="1"/>
  <c r="K118" i="1" s="1"/>
  <c r="J116" i="1"/>
  <c r="K116" i="1" s="1"/>
  <c r="J143" i="1"/>
  <c r="K143" i="1" s="1"/>
  <c r="J221" i="1"/>
  <c r="K221" i="1" s="1"/>
  <c r="J292" i="1"/>
  <c r="K292" i="1" s="1"/>
  <c r="J36" i="1"/>
  <c r="K36" i="1" s="1"/>
  <c r="J218" i="1"/>
  <c r="K218" i="1" s="1"/>
  <c r="J52" i="1"/>
  <c r="K52" i="1" s="1"/>
  <c r="J278" i="1"/>
  <c r="K278" i="1" s="1"/>
  <c r="J177" i="1"/>
  <c r="K177" i="1" s="1"/>
  <c r="J212" i="1"/>
  <c r="K212" i="1" s="1"/>
  <c r="J238" i="1"/>
  <c r="K238" i="1" s="1"/>
  <c r="J262" i="1"/>
  <c r="K262" i="1" s="1"/>
  <c r="J301" i="1"/>
  <c r="K301" i="1" s="1"/>
  <c r="J173" i="1"/>
  <c r="K173" i="1" s="1"/>
  <c r="J342" i="1"/>
  <c r="K342" i="1" s="1"/>
  <c r="J198" i="1"/>
  <c r="K198" i="1" s="1"/>
  <c r="J159" i="1"/>
  <c r="K159" i="1" s="1"/>
  <c r="J29" i="1"/>
  <c r="K29" i="1" s="1"/>
  <c r="J58" i="1"/>
  <c r="K58" i="1" s="1"/>
  <c r="J240" i="1"/>
  <c r="K240" i="1" s="1"/>
  <c r="J112" i="1"/>
  <c r="K112" i="1" s="1"/>
  <c r="J306" i="1"/>
  <c r="K306" i="1" s="1"/>
  <c r="J347" i="1"/>
  <c r="K347" i="1" s="1"/>
  <c r="J267" i="1"/>
  <c r="K267" i="1" s="1"/>
  <c r="J203" i="1"/>
  <c r="K203" i="1" s="1"/>
  <c r="J139" i="1"/>
  <c r="K139" i="1" s="1"/>
  <c r="J75" i="1"/>
  <c r="K75" i="1" s="1"/>
  <c r="J290" i="1"/>
  <c r="K290" i="1" s="1"/>
  <c r="J70" i="1"/>
  <c r="K70" i="1" s="1"/>
  <c r="J309" i="1"/>
  <c r="K309" i="1" s="1"/>
  <c r="J245" i="1"/>
  <c r="K245" i="1" s="1"/>
  <c r="J181" i="1"/>
  <c r="K181" i="1" s="1"/>
  <c r="J117" i="1"/>
  <c r="K117" i="1" s="1"/>
  <c r="J53" i="1"/>
  <c r="K53" i="1" s="1"/>
  <c r="J298" i="1"/>
  <c r="K298" i="1" s="1"/>
  <c r="J90" i="1"/>
  <c r="K90" i="1" s="1"/>
  <c r="J312" i="1"/>
  <c r="K312" i="1" s="1"/>
  <c r="J248" i="1"/>
  <c r="K248" i="1" s="1"/>
  <c r="J184" i="1"/>
  <c r="K184" i="1" s="1"/>
  <c r="J120" i="1"/>
  <c r="K120" i="1" s="1"/>
  <c r="J56" i="1"/>
  <c r="K56" i="1" s="1"/>
  <c r="J322" i="1"/>
  <c r="K322" i="1" s="1"/>
  <c r="J162" i="1"/>
  <c r="K162" i="1" s="1"/>
  <c r="J339" i="1"/>
  <c r="K339" i="1" s="1"/>
  <c r="J275" i="1"/>
  <c r="K275" i="1" s="1"/>
  <c r="J211" i="1"/>
  <c r="K211" i="1" s="1"/>
  <c r="J147" i="1"/>
  <c r="K147" i="1" s="1"/>
  <c r="J83" i="1"/>
  <c r="K83" i="1" s="1"/>
  <c r="J19" i="1"/>
  <c r="K19" i="1" s="1"/>
  <c r="J93" i="1"/>
  <c r="K93" i="1" s="1"/>
  <c r="J114" i="1"/>
  <c r="K114" i="1" s="1"/>
  <c r="J272" i="1"/>
  <c r="K272" i="1" s="1"/>
  <c r="J128" i="1"/>
  <c r="K128" i="1" s="1"/>
  <c r="J338" i="1"/>
  <c r="K338" i="1" s="1"/>
  <c r="J331" i="1"/>
  <c r="K331" i="1" s="1"/>
  <c r="J246" i="1"/>
  <c r="K246" i="1" s="1"/>
  <c r="J38" i="1"/>
  <c r="K38" i="1" s="1"/>
  <c r="J297" i="1"/>
  <c r="K297" i="1" s="1"/>
  <c r="J233" i="1"/>
  <c r="K233" i="1" s="1"/>
  <c r="J169" i="1"/>
  <c r="K169" i="1" s="1"/>
  <c r="J105" i="1"/>
  <c r="K105" i="1" s="1"/>
  <c r="J41" i="1"/>
  <c r="K41" i="1" s="1"/>
  <c r="J258" i="1"/>
  <c r="K258" i="1" s="1"/>
  <c r="J46" i="1"/>
  <c r="K46" i="1" s="1"/>
  <c r="J300" i="1"/>
  <c r="K300" i="1" s="1"/>
  <c r="J236" i="1"/>
  <c r="K236" i="1" s="1"/>
  <c r="J172" i="1"/>
  <c r="K172" i="1" s="1"/>
  <c r="J108" i="1"/>
  <c r="K108" i="1" s="1"/>
  <c r="J44" i="1"/>
  <c r="K44" i="1" s="1"/>
  <c r="J294" i="1"/>
  <c r="K294" i="1" s="1"/>
  <c r="J134" i="1"/>
  <c r="K134" i="1" s="1"/>
  <c r="J327" i="1"/>
  <c r="K327" i="1" s="1"/>
  <c r="J263" i="1"/>
  <c r="K263" i="1" s="1"/>
  <c r="J199" i="1"/>
  <c r="K199" i="1" s="1"/>
  <c r="J135" i="1"/>
  <c r="K135" i="1" s="1"/>
  <c r="J71" i="1"/>
  <c r="K71" i="1" s="1"/>
  <c r="J7" i="1"/>
  <c r="K7" i="1" s="1"/>
  <c r="AZ35" i="4"/>
  <c r="N35" i="4"/>
  <c r="AL37" i="4"/>
  <c r="AS42" i="4"/>
  <c r="AL35" i="4"/>
  <c r="AZ49" i="4"/>
  <c r="AU30" i="4"/>
  <c r="AL49" i="4"/>
  <c r="AU42" i="4"/>
  <c r="AL51" i="4"/>
  <c r="AE42" i="4"/>
  <c r="N37" i="4"/>
  <c r="N49" i="4"/>
  <c r="AG42" i="4"/>
  <c r="BM34" i="4"/>
  <c r="BN35" i="4" s="1"/>
  <c r="BJ31" i="4"/>
  <c r="BI30" i="4" s="1"/>
  <c r="AL51" i="2"/>
  <c r="AE42" i="2"/>
  <c r="AG42" i="2"/>
  <c r="BM34" i="6" l="1"/>
  <c r="BN35" i="6" s="1"/>
</calcChain>
</file>

<file path=xl/sharedStrings.xml><?xml version="1.0" encoding="utf-8"?>
<sst xmlns="http://schemas.openxmlformats.org/spreadsheetml/2006/main" count="1254" uniqueCount="25">
  <si>
    <t>a_node</t>
  </si>
  <si>
    <t>b_node</t>
  </si>
  <si>
    <t>c_node</t>
  </si>
  <si>
    <t>asn_vol</t>
  </si>
  <si>
    <t>match_b</t>
  </si>
  <si>
    <t>target</t>
  </si>
  <si>
    <t>u-turn</t>
  </si>
  <si>
    <t>=</t>
  </si>
  <si>
    <t>"</t>
  </si>
  <si>
    <t>?</t>
  </si>
  <si>
    <t>$</t>
  </si>
  <si>
    <t>:</t>
  </si>
  <si>
    <t>#</t>
  </si>
  <si>
    <t>;</t>
  </si>
  <si>
    <t>&lt;</t>
  </si>
  <si>
    <t>!</t>
  </si>
  <si>
    <t>&gt;</t>
  </si>
  <si>
    <t>w</t>
  </si>
  <si>
    <t>v</t>
  </si>
  <si>
    <t>r</t>
  </si>
  <si>
    <t>s</t>
  </si>
  <si>
    <t>key</t>
  </si>
  <si>
    <t>intermediate_target</t>
  </si>
  <si>
    <t>csv</t>
  </si>
  <si>
    <t>a_node,b_node,c_node,asn_vol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</si>
</sst>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0" tint="-0.499984740745262"/>
      <name val="Wingdings 3"/>
      <family val="1"/>
      <charset val="2"/>
    </font>
    <font>
      <sz val="8"/>
      <color rgb="FFFF0000"/>
      <name val="Consolas"/>
      <family val="3"/>
    </font>
  </fonts>
  <fills count="39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FF"/>
        <bgColor indexed="64"/>
      </patternFill>
    </fill>
  </fills>
  <borders count="18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ashed">
        <color theme="0" tint="-0.499984740745262"/>
      </left>
      <right/>
      <top style="dashed">
        <color theme="0" tint="-0.499984740745262"/>
      </top>
      <bottom/>
      <diagonal/>
    </border>
    <border>
      <left/>
      <right/>
      <top style="dashed">
        <color theme="0" tint="-0.499984740745262"/>
      </top>
      <bottom/>
      <diagonal/>
    </border>
    <border>
      <left/>
      <right style="dashed">
        <color theme="0" tint="-0.499984740745262"/>
      </right>
      <top style="dashed">
        <color theme="0" tint="-0.499984740745262"/>
      </top>
      <bottom/>
      <diagonal/>
    </border>
    <border>
      <left style="dashed">
        <color theme="0" tint="-0.499984740745262"/>
      </left>
      <right/>
      <top/>
      <bottom/>
      <diagonal/>
    </border>
    <border>
      <left/>
      <right style="dashed">
        <color theme="0" tint="-0.499984740745262"/>
      </right>
      <top/>
      <bottom/>
      <diagonal/>
    </border>
    <border>
      <left style="dashed">
        <color theme="0" tint="-0.499984740745262"/>
      </left>
      <right/>
      <top/>
      <bottom style="dashed">
        <color theme="0" tint="-0.499984740745262"/>
      </bottom>
      <diagonal/>
    </border>
    <border>
      <left/>
      <right/>
      <top/>
      <bottom style="dashed">
        <color theme="0" tint="-0.499984740745262"/>
      </bottom>
      <diagonal/>
    </border>
    <border>
      <left/>
      <right style="dashed">
        <color theme="0" tint="-0.499984740745262"/>
      </right>
      <top/>
      <bottom style="dashed">
        <color theme="0" tint="-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9" fontId="1" fillId="0" borderId="0" applyFont="0" applyFill="0" applyBorder="0" applyAlignment="0" applyProtection="0"/>
  </cellStyleXfs>
  <cellXfs count="37">
    <xf numFmtId="0" fontId="0" fillId="0" borderId="0" xfId="0"/>
    <xf numFmtId="0" fontId="0" fillId="33" borderId="0" xfId="0" applyFill="1"/>
    <xf numFmtId="0" fontId="0" fillId="0" borderId="10" xfId="0" applyBorder="1"/>
    <xf numFmtId="0" fontId="0" fillId="0" borderId="11" xfId="0" applyBorder="1"/>
    <xf numFmtId="0" fontId="0" fillId="33" borderId="11" xfId="0" applyFill="1" applyBorder="1"/>
    <xf numFmtId="0" fontId="0" fillId="0" borderId="12" xfId="0" applyBorder="1"/>
    <xf numFmtId="0" fontId="0" fillId="0" borderId="13" xfId="0" applyBorder="1"/>
    <xf numFmtId="0" fontId="0" fillId="0" borderId="0" xfId="0" applyBorder="1"/>
    <xf numFmtId="0" fontId="0" fillId="33" borderId="0" xfId="0" applyFill="1" applyBorder="1"/>
    <xf numFmtId="0" fontId="18" fillId="0" borderId="0" xfId="0" quotePrefix="1" applyFont="1" applyBorder="1"/>
    <xf numFmtId="0" fontId="0" fillId="0" borderId="14" xfId="0" applyBorder="1"/>
    <xf numFmtId="0" fontId="0" fillId="0" borderId="0" xfId="0" applyBorder="1" applyAlignment="1">
      <alignment horizontal="center"/>
    </xf>
    <xf numFmtId="0" fontId="18" fillId="0" borderId="0" xfId="0" quotePrefix="1" applyFont="1" applyBorder="1" applyAlignment="1">
      <alignment horizontal="center"/>
    </xf>
    <xf numFmtId="0" fontId="0" fillId="33" borderId="13" xfId="0" applyFill="1" applyBorder="1"/>
    <xf numFmtId="0" fontId="17" fillId="34" borderId="0" xfId="0" applyFont="1" applyFill="1" applyBorder="1" applyAlignment="1">
      <alignment horizontal="center"/>
    </xf>
    <xf numFmtId="0" fontId="0" fillId="33" borderId="14" xfId="0" applyFill="1" applyBorder="1"/>
    <xf numFmtId="0" fontId="0" fillId="0" borderId="15" xfId="0" applyBorder="1"/>
    <xf numFmtId="0" fontId="0" fillId="0" borderId="16" xfId="0" applyBorder="1"/>
    <xf numFmtId="0" fontId="0" fillId="33" borderId="16" xfId="0" applyFill="1" applyBorder="1"/>
    <xf numFmtId="0" fontId="0" fillId="0" borderId="17" xfId="0" applyBorder="1"/>
    <xf numFmtId="0" fontId="18" fillId="0" borderId="0" xfId="0" quotePrefix="1" applyFont="1" applyBorder="1" applyAlignment="1">
      <alignment horizontal="right"/>
    </xf>
    <xf numFmtId="0" fontId="18" fillId="0" borderId="13" xfId="0" quotePrefix="1" applyFont="1" applyBorder="1" applyAlignment="1">
      <alignment horizontal="right"/>
    </xf>
    <xf numFmtId="0" fontId="18" fillId="0" borderId="16" xfId="0" quotePrefix="1" applyFont="1" applyBorder="1" applyAlignment="1">
      <alignment horizontal="center"/>
    </xf>
    <xf numFmtId="0" fontId="18" fillId="33" borderId="0" xfId="0" applyFont="1" applyFill="1" applyBorder="1" applyAlignment="1">
      <alignment horizontal="center"/>
    </xf>
    <xf numFmtId="0" fontId="18" fillId="33" borderId="0" xfId="0" quotePrefix="1" applyFont="1" applyFill="1" applyBorder="1" applyAlignment="1">
      <alignment horizontal="right"/>
    </xf>
    <xf numFmtId="0" fontId="0" fillId="35" borderId="0" xfId="0" applyFill="1" applyBorder="1"/>
    <xf numFmtId="0" fontId="0" fillId="35" borderId="0" xfId="0" applyFill="1" applyBorder="1" applyAlignment="1">
      <alignment horizontal="center"/>
    </xf>
    <xf numFmtId="0" fontId="0" fillId="36" borderId="0" xfId="0" applyFill="1" applyBorder="1"/>
    <xf numFmtId="0" fontId="0" fillId="35" borderId="0" xfId="0" applyFill="1" applyBorder="1" applyAlignment="1">
      <alignment horizontal="right"/>
    </xf>
    <xf numFmtId="11" fontId="0" fillId="0" borderId="0" xfId="0" applyNumberFormat="1"/>
    <xf numFmtId="164" fontId="0" fillId="37" borderId="14" xfId="0" applyNumberFormat="1" applyFill="1" applyBorder="1"/>
    <xf numFmtId="1" fontId="19" fillId="0" borderId="0" xfId="0" applyNumberFormat="1" applyFont="1" applyAlignment="1">
      <alignment vertical="center"/>
    </xf>
    <xf numFmtId="2" fontId="0" fillId="0" borderId="0" xfId="0" applyNumberFormat="1"/>
    <xf numFmtId="4" fontId="0" fillId="0" borderId="0" xfId="0" applyNumberFormat="1"/>
    <xf numFmtId="1" fontId="0" fillId="38" borderId="0" xfId="0" applyNumberFormat="1" applyFill="1" applyBorder="1" applyAlignment="1">
      <alignment horizontal="center"/>
    </xf>
    <xf numFmtId="1" fontId="0" fillId="38" borderId="0" xfId="0" applyNumberFormat="1" applyFill="1" applyBorder="1" applyAlignment="1">
      <alignment horizontal="right"/>
    </xf>
    <xf numFmtId="9" fontId="0" fillId="38" borderId="0" xfId="42" applyFont="1" applyFill="1" applyBorder="1" applyAlignment="1">
      <alignment horizontal="center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Percent" xfId="42" builtinId="5"/>
    <cellStyle name="Title" xfId="1" builtinId="15" customBuiltin="1"/>
    <cellStyle name="Total" xfId="17" builtinId="25" customBuiltin="1"/>
    <cellStyle name="Warning Text" xfId="14" builtinId="11" customBuiltin="1"/>
  </cellStyles>
  <dxfs count="3">
    <dxf>
      <numFmt numFmtId="0" formatCode="General"/>
    </dxf>
    <dxf>
      <numFmt numFmtId="0" formatCode="General"/>
    </dxf>
    <dxf>
      <numFmt numFmtId="2" formatCode="0.00"/>
    </dxf>
  </dxfs>
  <tableStyles count="0" defaultTableStyle="TableStyleMedium2" defaultPivotStyle="PivotStyleLight16"/>
  <colors>
    <mruColors>
      <color rgb="FFFF99FF"/>
      <color rgb="FFFF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ables/table1.xml><?xml version="1.0" encoding="utf-8"?>
<table xmlns="http://schemas.openxmlformats.org/spreadsheetml/2006/main" id="1" name="exported_results" displayName="exported_results" ref="C5:H351" totalsRowShown="0">
  <autoFilter ref="C5:H351"/>
  <tableColumns count="6">
    <tableColumn id="1" name="a_node,b_node,c_node,asn_vol"/>
    <tableColumn id="2" name="b_node"/>
    <tableColumn id="3" name="c_node"/>
    <tableColumn id="4" name="asn_vol" dataDxfId="2"/>
    <tableColumn id="5" name="key" dataDxfId="1">
      <calculatedColumnFormula>exported_results[[#This Row],[a_node,b_node,c_node,asn_vol]]&amp;"_"&amp;exported_results[[#This Row],[b_node]]&amp;"_"&amp;exported_results[[#This Row],[c_node]]</calculatedColumnFormula>
    </tableColumn>
    <tableColumn id="6" name="u-turn" dataDxfId="0">
      <calculatedColumnFormula>exported_results[[#This Row],[a_node,b_node,c_node,asn_vol]]=exported_results[[#This Row],[c_node]]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M347"/>
  <sheetViews>
    <sheetView zoomScaleNormal="100" workbookViewId="0">
      <selection activeCell="K5" sqref="K5:K346"/>
    </sheetView>
  </sheetViews>
  <sheetFormatPr defaultRowHeight="15" x14ac:dyDescent="0.25"/>
  <cols>
    <col min="8" max="8" width="18.140625" bestFit="1" customWidth="1"/>
    <col min="11" max="11" width="34.85546875" customWidth="1"/>
  </cols>
  <sheetData>
    <row r="1" spans="1:13" x14ac:dyDescent="0.2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21</v>
      </c>
      <c r="I1" s="1" t="s">
        <v>22</v>
      </c>
      <c r="J1" s="1" t="s">
        <v>5</v>
      </c>
      <c r="K1" s="1" t="s">
        <v>23</v>
      </c>
    </row>
    <row r="2" spans="1:13" hidden="1" x14ac:dyDescent="0.25">
      <c r="A2">
        <v>300</v>
      </c>
      <c r="B2">
        <v>301</v>
      </c>
      <c r="C2">
        <v>302</v>
      </c>
      <c r="D2">
        <v>0</v>
      </c>
      <c r="E2" t="e">
        <f t="shared" ref="E2:E65" si="0">MATCH(B2,$M$3:$M$18,0)</f>
        <v>#N/A</v>
      </c>
      <c r="G2" t="b">
        <f t="shared" ref="G2:G65" si="1">A2=C2</f>
        <v>0</v>
      </c>
      <c r="H2" t="str">
        <f>"TURN_"&amp;A2&amp;"_"&amp;B2&amp;"_"&amp;C2</f>
        <v>TURN_300_301_302</v>
      </c>
      <c r="I2" t="e">
        <f ca="1">INDIRECT("targets!"&amp;H2)</f>
        <v>#REF!</v>
      </c>
      <c r="J2">
        <f ca="1">IFERROR(I2,0)</f>
        <v>0</v>
      </c>
      <c r="K2" t="str">
        <f ca="1">CONCATENATE(A2,",",B2,",",C2,",",H2,",",J2)</f>
        <v>300,301,302,TURN_300_301_302,0</v>
      </c>
      <c r="M2" t="s">
        <v>1</v>
      </c>
    </row>
    <row r="3" spans="1:13" hidden="1" x14ac:dyDescent="0.25">
      <c r="A3">
        <v>300</v>
      </c>
      <c r="B3">
        <v>301</v>
      </c>
      <c r="C3">
        <v>304</v>
      </c>
      <c r="D3">
        <v>0</v>
      </c>
      <c r="E3" t="e">
        <f t="shared" si="0"/>
        <v>#N/A</v>
      </c>
      <c r="G3" t="b">
        <f t="shared" si="1"/>
        <v>0</v>
      </c>
      <c r="H3" t="str">
        <f t="shared" ref="H3:H66" si="2">"TURN_"&amp;A3&amp;"_"&amp;B3&amp;"_"&amp;C3</f>
        <v>TURN_300_301_304</v>
      </c>
      <c r="I3" t="e">
        <f t="shared" ref="I3:I66" ca="1" si="3">INDIRECT("targets!"&amp;H3)</f>
        <v>#REF!</v>
      </c>
      <c r="J3">
        <f t="shared" ref="J3:J66" ca="1" si="4">IFERROR(I3,0)</f>
        <v>0</v>
      </c>
      <c r="K3" t="str">
        <f t="shared" ref="K3:K66" ca="1" si="5">CONCATENATE(A3,",",B3,",",C3,",",H3,",",J3)</f>
        <v>300,301,304,TURN_300_301_304,0</v>
      </c>
      <c r="M3">
        <v>504</v>
      </c>
    </row>
    <row r="4" spans="1:13" hidden="1" x14ac:dyDescent="0.25">
      <c r="A4">
        <v>301</v>
      </c>
      <c r="B4">
        <v>304</v>
      </c>
      <c r="C4">
        <v>305</v>
      </c>
      <c r="D4">
        <v>0</v>
      </c>
      <c r="E4" t="e">
        <f t="shared" si="0"/>
        <v>#N/A</v>
      </c>
      <c r="G4" t="b">
        <f t="shared" si="1"/>
        <v>0</v>
      </c>
      <c r="H4" t="str">
        <f t="shared" si="2"/>
        <v>TURN_301_304_305</v>
      </c>
      <c r="I4" t="e">
        <f t="shared" ca="1" si="3"/>
        <v>#REF!</v>
      </c>
      <c r="J4">
        <f t="shared" ca="1" si="4"/>
        <v>0</v>
      </c>
      <c r="K4" t="str">
        <f t="shared" ca="1" si="5"/>
        <v>301,304,305,TURN_301_304_305,0</v>
      </c>
      <c r="M4">
        <v>505</v>
      </c>
    </row>
    <row r="5" spans="1:13" x14ac:dyDescent="0.25">
      <c r="A5">
        <v>511</v>
      </c>
      <c r="B5">
        <v>326</v>
      </c>
      <c r="C5">
        <v>327</v>
      </c>
      <c r="D5">
        <v>0</v>
      </c>
      <c r="E5">
        <f t="shared" si="0"/>
        <v>9</v>
      </c>
      <c r="G5" t="b">
        <f t="shared" si="1"/>
        <v>0</v>
      </c>
      <c r="H5" t="str">
        <f t="shared" si="2"/>
        <v>TURN_511_326_327</v>
      </c>
      <c r="I5">
        <f t="shared" ca="1" si="3"/>
        <v>50</v>
      </c>
      <c r="J5">
        <f t="shared" ca="1" si="4"/>
        <v>50</v>
      </c>
      <c r="K5" t="str">
        <f t="shared" ca="1" si="5"/>
        <v>511,326,327,TURN_511_326_327,50</v>
      </c>
      <c r="M5">
        <v>506</v>
      </c>
    </row>
    <row r="6" spans="1:13" x14ac:dyDescent="0.25">
      <c r="A6">
        <v>511</v>
      </c>
      <c r="B6">
        <v>326</v>
      </c>
      <c r="C6">
        <v>402</v>
      </c>
      <c r="D6">
        <v>0</v>
      </c>
      <c r="E6">
        <f t="shared" si="0"/>
        <v>9</v>
      </c>
      <c r="G6" t="b">
        <f t="shared" si="1"/>
        <v>0</v>
      </c>
      <c r="H6" t="str">
        <f t="shared" si="2"/>
        <v>TURN_511_326_402</v>
      </c>
      <c r="I6">
        <f t="shared" ca="1" si="3"/>
        <v>1200</v>
      </c>
      <c r="J6">
        <f t="shared" ca="1" si="4"/>
        <v>1200</v>
      </c>
      <c r="K6" t="str">
        <f t="shared" ca="1" si="5"/>
        <v>511,326,402,TURN_511_326_402,1200</v>
      </c>
      <c r="M6">
        <v>509</v>
      </c>
    </row>
    <row r="7" spans="1:13" x14ac:dyDescent="0.25">
      <c r="A7">
        <v>511</v>
      </c>
      <c r="B7">
        <v>326</v>
      </c>
      <c r="C7">
        <v>511</v>
      </c>
      <c r="D7">
        <v>0</v>
      </c>
      <c r="E7">
        <f t="shared" si="0"/>
        <v>9</v>
      </c>
      <c r="F7">
        <v>0</v>
      </c>
      <c r="G7" t="b">
        <f t="shared" si="1"/>
        <v>1</v>
      </c>
      <c r="H7" t="str">
        <f t="shared" si="2"/>
        <v>TURN_511_326_511</v>
      </c>
      <c r="I7" t="e">
        <f t="shared" ca="1" si="3"/>
        <v>#REF!</v>
      </c>
      <c r="J7">
        <f t="shared" ca="1" si="4"/>
        <v>0</v>
      </c>
      <c r="K7" t="str">
        <f t="shared" ca="1" si="5"/>
        <v>511,326,511,TURN_511_326_511,0</v>
      </c>
      <c r="M7">
        <v>510</v>
      </c>
    </row>
    <row r="8" spans="1:13" x14ac:dyDescent="0.25">
      <c r="A8">
        <v>511</v>
      </c>
      <c r="B8">
        <v>506</v>
      </c>
      <c r="C8">
        <v>511</v>
      </c>
      <c r="D8">
        <v>0</v>
      </c>
      <c r="E8">
        <f t="shared" si="0"/>
        <v>3</v>
      </c>
      <c r="F8">
        <v>0</v>
      </c>
      <c r="G8" t="b">
        <f t="shared" si="1"/>
        <v>1</v>
      </c>
      <c r="H8" t="str">
        <f t="shared" si="2"/>
        <v>TURN_511_506_511</v>
      </c>
      <c r="I8" t="e">
        <f t="shared" ca="1" si="3"/>
        <v>#REF!</v>
      </c>
      <c r="J8">
        <f t="shared" ca="1" si="4"/>
        <v>0</v>
      </c>
      <c r="K8" t="str">
        <f t="shared" ca="1" si="5"/>
        <v>511,506,511,TURN_511_506_511,0</v>
      </c>
      <c r="M8">
        <v>511</v>
      </c>
    </row>
    <row r="9" spans="1:13" x14ac:dyDescent="0.25">
      <c r="A9">
        <v>511</v>
      </c>
      <c r="B9">
        <v>506</v>
      </c>
      <c r="C9">
        <v>502</v>
      </c>
      <c r="D9">
        <v>0</v>
      </c>
      <c r="E9">
        <f t="shared" si="0"/>
        <v>3</v>
      </c>
      <c r="G9" t="b">
        <f t="shared" si="1"/>
        <v>0</v>
      </c>
      <c r="H9" t="str">
        <f t="shared" si="2"/>
        <v>TURN_511_506_502</v>
      </c>
      <c r="I9">
        <f t="shared" ca="1" si="3"/>
        <v>1200</v>
      </c>
      <c r="J9">
        <f t="shared" ca="1" si="4"/>
        <v>1200</v>
      </c>
      <c r="K9" t="str">
        <f t="shared" ca="1" si="5"/>
        <v>511,506,502,TURN_511_506_502,1200</v>
      </c>
      <c r="M9">
        <v>320</v>
      </c>
    </row>
    <row r="10" spans="1:13" x14ac:dyDescent="0.25">
      <c r="A10">
        <v>511</v>
      </c>
      <c r="B10">
        <v>506</v>
      </c>
      <c r="C10">
        <v>505</v>
      </c>
      <c r="D10">
        <v>0</v>
      </c>
      <c r="E10">
        <f t="shared" si="0"/>
        <v>3</v>
      </c>
      <c r="G10" t="b">
        <f t="shared" si="1"/>
        <v>0</v>
      </c>
      <c r="H10" t="str">
        <f t="shared" si="2"/>
        <v>TURN_511_506_505</v>
      </c>
      <c r="I10">
        <f t="shared" ca="1" si="3"/>
        <v>150</v>
      </c>
      <c r="J10">
        <f t="shared" ca="1" si="4"/>
        <v>150</v>
      </c>
      <c r="K10" t="str">
        <f t="shared" ca="1" si="5"/>
        <v>511,506,505,TURN_511_506_505,150</v>
      </c>
      <c r="M10">
        <v>323</v>
      </c>
    </row>
    <row r="11" spans="1:13" x14ac:dyDescent="0.25">
      <c r="A11">
        <v>511</v>
      </c>
      <c r="B11">
        <v>506</v>
      </c>
      <c r="C11">
        <v>507</v>
      </c>
      <c r="D11">
        <v>0</v>
      </c>
      <c r="E11">
        <f t="shared" si="0"/>
        <v>3</v>
      </c>
      <c r="G11" t="b">
        <f t="shared" si="1"/>
        <v>0</v>
      </c>
      <c r="H11" t="str">
        <f t="shared" si="2"/>
        <v>TURN_511_506_507</v>
      </c>
      <c r="I11">
        <f t="shared" ca="1" si="3"/>
        <v>50</v>
      </c>
      <c r="J11">
        <f t="shared" ca="1" si="4"/>
        <v>50</v>
      </c>
      <c r="K11" t="str">
        <f t="shared" ca="1" si="5"/>
        <v>511,506,507,TURN_511_506_507,50</v>
      </c>
      <c r="M11">
        <v>326</v>
      </c>
    </row>
    <row r="12" spans="1:13" x14ac:dyDescent="0.25">
      <c r="A12">
        <v>511</v>
      </c>
      <c r="B12">
        <v>510</v>
      </c>
      <c r="C12">
        <v>323</v>
      </c>
      <c r="D12">
        <v>0</v>
      </c>
      <c r="E12">
        <f t="shared" si="0"/>
        <v>5</v>
      </c>
      <c r="G12" t="b">
        <f t="shared" si="1"/>
        <v>0</v>
      </c>
      <c r="H12" t="str">
        <f t="shared" si="2"/>
        <v>TURN_511_510_323</v>
      </c>
      <c r="I12">
        <f t="shared" ca="1" si="3"/>
        <v>100</v>
      </c>
      <c r="J12">
        <f t="shared" ca="1" si="4"/>
        <v>100</v>
      </c>
      <c r="K12" t="str">
        <f t="shared" ca="1" si="5"/>
        <v>511,510,323,TURN_511_510_323,100</v>
      </c>
      <c r="M12">
        <v>408</v>
      </c>
    </row>
    <row r="13" spans="1:13" x14ac:dyDescent="0.25">
      <c r="A13">
        <v>511</v>
      </c>
      <c r="B13">
        <v>510</v>
      </c>
      <c r="C13">
        <v>505</v>
      </c>
      <c r="D13">
        <v>0</v>
      </c>
      <c r="E13">
        <f t="shared" si="0"/>
        <v>5</v>
      </c>
      <c r="G13" t="b">
        <f t="shared" si="1"/>
        <v>0</v>
      </c>
      <c r="H13" t="str">
        <f t="shared" si="2"/>
        <v>TURN_511_510_505</v>
      </c>
      <c r="I13">
        <f t="shared" ca="1" si="3"/>
        <v>150</v>
      </c>
      <c r="J13">
        <f t="shared" ca="1" si="4"/>
        <v>150</v>
      </c>
      <c r="K13" t="str">
        <f t="shared" ca="1" si="5"/>
        <v>511,510,505,TURN_511_510_505,150</v>
      </c>
      <c r="M13">
        <v>405</v>
      </c>
    </row>
    <row r="14" spans="1:13" x14ac:dyDescent="0.25">
      <c r="A14">
        <v>511</v>
      </c>
      <c r="B14">
        <v>510</v>
      </c>
      <c r="C14">
        <v>509</v>
      </c>
      <c r="D14">
        <v>0</v>
      </c>
      <c r="E14">
        <f t="shared" si="0"/>
        <v>5</v>
      </c>
      <c r="G14" t="b">
        <f t="shared" si="1"/>
        <v>0</v>
      </c>
      <c r="H14" t="str">
        <f t="shared" si="2"/>
        <v>TURN_511_510_509</v>
      </c>
      <c r="I14">
        <f t="shared" ca="1" si="3"/>
        <v>1000</v>
      </c>
      <c r="J14">
        <f t="shared" ca="1" si="4"/>
        <v>1000</v>
      </c>
      <c r="K14" t="str">
        <f t="shared" ca="1" si="5"/>
        <v>511,510,509,TURN_511_510_509,1000</v>
      </c>
      <c r="M14">
        <v>402</v>
      </c>
    </row>
    <row r="15" spans="1:13" x14ac:dyDescent="0.25">
      <c r="A15">
        <v>511</v>
      </c>
      <c r="B15">
        <v>510</v>
      </c>
      <c r="C15">
        <v>511</v>
      </c>
      <c r="D15">
        <v>0</v>
      </c>
      <c r="E15">
        <f t="shared" si="0"/>
        <v>5</v>
      </c>
      <c r="F15">
        <v>0</v>
      </c>
      <c r="G15" t="b">
        <f t="shared" si="1"/>
        <v>1</v>
      </c>
      <c r="H15" t="str">
        <f t="shared" si="2"/>
        <v>TURN_511_510_511</v>
      </c>
      <c r="I15" t="e">
        <f t="shared" ca="1" si="3"/>
        <v>#REF!</v>
      </c>
      <c r="J15">
        <f t="shared" ca="1" si="4"/>
        <v>0</v>
      </c>
      <c r="K15" t="str">
        <f t="shared" ca="1" si="5"/>
        <v>511,510,511,TURN_511_510_511,0</v>
      </c>
      <c r="M15">
        <v>224</v>
      </c>
    </row>
    <row r="16" spans="1:13" x14ac:dyDescent="0.25">
      <c r="A16">
        <v>512</v>
      </c>
      <c r="B16">
        <v>511</v>
      </c>
      <c r="C16">
        <v>326</v>
      </c>
      <c r="D16">
        <v>0</v>
      </c>
      <c r="E16">
        <f t="shared" si="0"/>
        <v>6</v>
      </c>
      <c r="G16" t="b">
        <f t="shared" si="1"/>
        <v>0</v>
      </c>
      <c r="H16" t="str">
        <f t="shared" si="2"/>
        <v>TURN_512_511_326</v>
      </c>
      <c r="I16">
        <f t="shared" ca="1" si="3"/>
        <v>100</v>
      </c>
      <c r="J16">
        <f t="shared" ca="1" si="4"/>
        <v>100</v>
      </c>
      <c r="K16" t="str">
        <f t="shared" ca="1" si="5"/>
        <v>512,511,326,TURN_512_511_326,100</v>
      </c>
      <c r="M16">
        <v>113</v>
      </c>
    </row>
    <row r="17" spans="1:13" x14ac:dyDescent="0.25">
      <c r="A17">
        <v>512</v>
      </c>
      <c r="B17">
        <v>511</v>
      </c>
      <c r="C17">
        <v>506</v>
      </c>
      <c r="D17">
        <v>0</v>
      </c>
      <c r="E17">
        <f t="shared" si="0"/>
        <v>6</v>
      </c>
      <c r="G17" t="b">
        <f t="shared" si="1"/>
        <v>0</v>
      </c>
      <c r="H17" t="str">
        <f t="shared" si="2"/>
        <v>TURN_512_511_506</v>
      </c>
      <c r="I17">
        <f t="shared" ca="1" si="3"/>
        <v>200</v>
      </c>
      <c r="J17">
        <f t="shared" ca="1" si="4"/>
        <v>200</v>
      </c>
      <c r="K17" t="str">
        <f t="shared" ca="1" si="5"/>
        <v>512,511,506,TURN_512_511_506,200</v>
      </c>
      <c r="M17">
        <v>227</v>
      </c>
    </row>
    <row r="18" spans="1:13" x14ac:dyDescent="0.25">
      <c r="A18">
        <v>512</v>
      </c>
      <c r="B18">
        <v>511</v>
      </c>
      <c r="C18">
        <v>510</v>
      </c>
      <c r="D18">
        <v>0</v>
      </c>
      <c r="E18">
        <f t="shared" si="0"/>
        <v>6</v>
      </c>
      <c r="G18" t="b">
        <f t="shared" si="1"/>
        <v>0</v>
      </c>
      <c r="H18" t="str">
        <f t="shared" si="2"/>
        <v>TURN_512_511_510</v>
      </c>
      <c r="I18">
        <f t="shared" ca="1" si="3"/>
        <v>800</v>
      </c>
      <c r="J18">
        <f t="shared" ca="1" si="4"/>
        <v>800</v>
      </c>
      <c r="K18" t="str">
        <f t="shared" ca="1" si="5"/>
        <v>512,511,510,TURN_512_511_510,800</v>
      </c>
      <c r="M18">
        <v>110</v>
      </c>
    </row>
    <row r="19" spans="1:13" x14ac:dyDescent="0.25">
      <c r="A19">
        <v>512</v>
      </c>
      <c r="B19">
        <v>511</v>
      </c>
      <c r="C19">
        <v>512</v>
      </c>
      <c r="D19">
        <v>0</v>
      </c>
      <c r="E19">
        <f t="shared" si="0"/>
        <v>6</v>
      </c>
      <c r="F19">
        <v>0</v>
      </c>
      <c r="G19" t="b">
        <f t="shared" si="1"/>
        <v>1</v>
      </c>
      <c r="H19" t="str">
        <f t="shared" si="2"/>
        <v>TURN_512_511_512</v>
      </c>
      <c r="I19" t="e">
        <f t="shared" ca="1" si="3"/>
        <v>#REF!</v>
      </c>
      <c r="J19">
        <f t="shared" ca="1" si="4"/>
        <v>0</v>
      </c>
      <c r="K19" t="str">
        <f t="shared" ca="1" si="5"/>
        <v>512,511,512,TURN_512_511_512,0</v>
      </c>
    </row>
    <row r="20" spans="1:13" hidden="1" x14ac:dyDescent="0.25">
      <c r="A20">
        <v>303</v>
      </c>
      <c r="B20">
        <v>304</v>
      </c>
      <c r="C20">
        <v>305</v>
      </c>
      <c r="D20">
        <v>0</v>
      </c>
      <c r="E20" t="e">
        <f t="shared" si="0"/>
        <v>#N/A</v>
      </c>
      <c r="G20" t="b">
        <f t="shared" si="1"/>
        <v>0</v>
      </c>
      <c r="H20" t="str">
        <f t="shared" si="2"/>
        <v>TURN_303_304_305</v>
      </c>
      <c r="I20" t="e">
        <f t="shared" ca="1" si="3"/>
        <v>#REF!</v>
      </c>
      <c r="J20">
        <f t="shared" ca="1" si="4"/>
        <v>0</v>
      </c>
      <c r="K20" t="str">
        <f t="shared" ca="1" si="5"/>
        <v>303,304,305,TURN_303_304_305,0</v>
      </c>
    </row>
    <row r="21" spans="1:13" hidden="1" x14ac:dyDescent="0.25">
      <c r="A21">
        <v>304</v>
      </c>
      <c r="B21">
        <v>305</v>
      </c>
      <c r="C21">
        <v>306</v>
      </c>
      <c r="D21">
        <v>0</v>
      </c>
      <c r="E21" t="e">
        <f t="shared" si="0"/>
        <v>#N/A</v>
      </c>
      <c r="G21" t="b">
        <f t="shared" si="1"/>
        <v>0</v>
      </c>
      <c r="H21" t="str">
        <f t="shared" si="2"/>
        <v>TURN_304_305_306</v>
      </c>
      <c r="I21" t="e">
        <f t="shared" ca="1" si="3"/>
        <v>#REF!</v>
      </c>
      <c r="J21">
        <f t="shared" ca="1" si="4"/>
        <v>0</v>
      </c>
      <c r="K21" t="str">
        <f t="shared" ca="1" si="5"/>
        <v>304,305,306,TURN_304_305_306,0</v>
      </c>
    </row>
    <row r="22" spans="1:13" hidden="1" x14ac:dyDescent="0.25">
      <c r="A22">
        <v>304</v>
      </c>
      <c r="B22">
        <v>305</v>
      </c>
      <c r="C22">
        <v>308</v>
      </c>
      <c r="D22">
        <v>0</v>
      </c>
      <c r="E22" t="e">
        <f t="shared" si="0"/>
        <v>#N/A</v>
      </c>
      <c r="G22" t="b">
        <f t="shared" si="1"/>
        <v>0</v>
      </c>
      <c r="H22" t="str">
        <f t="shared" si="2"/>
        <v>TURN_304_305_308</v>
      </c>
      <c r="I22" t="e">
        <f t="shared" ca="1" si="3"/>
        <v>#REF!</v>
      </c>
      <c r="J22">
        <f t="shared" ca="1" si="4"/>
        <v>0</v>
      </c>
      <c r="K22" t="str">
        <f t="shared" ca="1" si="5"/>
        <v>304,305,308,TURN_304_305_308,0</v>
      </c>
    </row>
    <row r="23" spans="1:13" x14ac:dyDescent="0.25">
      <c r="A23">
        <v>508</v>
      </c>
      <c r="B23">
        <v>224</v>
      </c>
      <c r="C23">
        <v>225</v>
      </c>
      <c r="D23">
        <v>0</v>
      </c>
      <c r="E23">
        <f t="shared" si="0"/>
        <v>13</v>
      </c>
      <c r="F23">
        <v>350</v>
      </c>
      <c r="G23" t="b">
        <f t="shared" si="1"/>
        <v>0</v>
      </c>
      <c r="H23" t="str">
        <f t="shared" si="2"/>
        <v>TURN_508_224_225</v>
      </c>
      <c r="I23">
        <f t="shared" ca="1" si="3"/>
        <v>250</v>
      </c>
      <c r="J23">
        <f t="shared" ca="1" si="4"/>
        <v>250</v>
      </c>
      <c r="K23" t="str">
        <f t="shared" ca="1" si="5"/>
        <v>508,224,225,TURN_508_224_225,250</v>
      </c>
    </row>
    <row r="24" spans="1:13" x14ac:dyDescent="0.25">
      <c r="A24">
        <v>508</v>
      </c>
      <c r="B24">
        <v>224</v>
      </c>
      <c r="C24">
        <v>113</v>
      </c>
      <c r="D24">
        <v>0</v>
      </c>
      <c r="E24">
        <f t="shared" si="0"/>
        <v>13</v>
      </c>
      <c r="G24" t="b">
        <f t="shared" si="1"/>
        <v>0</v>
      </c>
      <c r="H24" t="str">
        <f t="shared" si="2"/>
        <v>TURN_508_224_113</v>
      </c>
      <c r="I24">
        <f t="shared" ca="1" si="3"/>
        <v>800</v>
      </c>
      <c r="J24">
        <f t="shared" ca="1" si="4"/>
        <v>800</v>
      </c>
      <c r="K24" t="str">
        <f t="shared" ca="1" si="5"/>
        <v>508,224,113,TURN_508_224_113,800</v>
      </c>
    </row>
    <row r="25" spans="1:13" x14ac:dyDescent="0.25">
      <c r="A25">
        <v>508</v>
      </c>
      <c r="B25">
        <v>224</v>
      </c>
      <c r="C25">
        <v>508</v>
      </c>
      <c r="D25">
        <v>0</v>
      </c>
      <c r="E25">
        <f t="shared" si="0"/>
        <v>13</v>
      </c>
      <c r="F25">
        <v>0</v>
      </c>
      <c r="G25" t="b">
        <f t="shared" si="1"/>
        <v>1</v>
      </c>
      <c r="H25" t="str">
        <f t="shared" si="2"/>
        <v>TURN_508_224_508</v>
      </c>
      <c r="I25" t="e">
        <f t="shared" ca="1" si="3"/>
        <v>#REF!</v>
      </c>
      <c r="J25">
        <f t="shared" ca="1" si="4"/>
        <v>0</v>
      </c>
      <c r="K25" t="str">
        <f t="shared" ca="1" si="5"/>
        <v>508,224,508,TURN_508_224_508,0</v>
      </c>
    </row>
    <row r="26" spans="1:13" x14ac:dyDescent="0.25">
      <c r="A26">
        <v>503</v>
      </c>
      <c r="B26">
        <v>227</v>
      </c>
      <c r="C26">
        <v>228</v>
      </c>
      <c r="D26">
        <v>0</v>
      </c>
      <c r="E26">
        <f t="shared" si="0"/>
        <v>15</v>
      </c>
      <c r="F26">
        <v>350</v>
      </c>
      <c r="G26" t="b">
        <f t="shared" si="1"/>
        <v>0</v>
      </c>
      <c r="H26" t="str">
        <f t="shared" si="2"/>
        <v>TURN_503_227_228</v>
      </c>
      <c r="I26">
        <f t="shared" ca="1" si="3"/>
        <v>200</v>
      </c>
      <c r="J26">
        <f t="shared" ca="1" si="4"/>
        <v>200</v>
      </c>
      <c r="K26" t="str">
        <f t="shared" ca="1" si="5"/>
        <v>503,227,228,TURN_503_227_228,200</v>
      </c>
    </row>
    <row r="27" spans="1:13" x14ac:dyDescent="0.25">
      <c r="A27">
        <v>503</v>
      </c>
      <c r="B27">
        <v>227</v>
      </c>
      <c r="C27">
        <v>110</v>
      </c>
      <c r="D27">
        <v>0</v>
      </c>
      <c r="E27">
        <f t="shared" si="0"/>
        <v>15</v>
      </c>
      <c r="G27" t="b">
        <f t="shared" si="1"/>
        <v>0</v>
      </c>
      <c r="H27" t="str">
        <f t="shared" si="2"/>
        <v>TURN_503_227_110</v>
      </c>
      <c r="I27">
        <f t="shared" ca="1" si="3"/>
        <v>1000</v>
      </c>
      <c r="J27">
        <f t="shared" ca="1" si="4"/>
        <v>1000</v>
      </c>
      <c r="K27" t="str">
        <f t="shared" ca="1" si="5"/>
        <v>503,227,110,TURN_503_227_110,1000</v>
      </c>
    </row>
    <row r="28" spans="1:13" x14ac:dyDescent="0.25">
      <c r="A28">
        <v>503</v>
      </c>
      <c r="B28">
        <v>227</v>
      </c>
      <c r="C28">
        <v>503</v>
      </c>
      <c r="D28">
        <v>0</v>
      </c>
      <c r="E28">
        <f t="shared" si="0"/>
        <v>15</v>
      </c>
      <c r="F28">
        <v>0</v>
      </c>
      <c r="G28" t="b">
        <f t="shared" si="1"/>
        <v>1</v>
      </c>
      <c r="H28" t="str">
        <f t="shared" si="2"/>
        <v>TURN_503_227_503</v>
      </c>
      <c r="I28" t="e">
        <f t="shared" ca="1" si="3"/>
        <v>#REF!</v>
      </c>
      <c r="J28">
        <f t="shared" ca="1" si="4"/>
        <v>0</v>
      </c>
      <c r="K28" t="str">
        <f t="shared" ca="1" si="5"/>
        <v>503,227,503,TURN_503_227_503,0</v>
      </c>
    </row>
    <row r="29" spans="1:13" hidden="1" x14ac:dyDescent="0.25">
      <c r="A29">
        <v>305</v>
      </c>
      <c r="B29">
        <v>308</v>
      </c>
      <c r="C29">
        <v>309</v>
      </c>
      <c r="D29">
        <v>0</v>
      </c>
      <c r="E29" t="e">
        <f t="shared" si="0"/>
        <v>#N/A</v>
      </c>
      <c r="G29" t="b">
        <f t="shared" si="1"/>
        <v>0</v>
      </c>
      <c r="H29" t="str">
        <f t="shared" si="2"/>
        <v>TURN_305_308_309</v>
      </c>
      <c r="I29" t="e">
        <f t="shared" ca="1" si="3"/>
        <v>#REF!</v>
      </c>
      <c r="J29">
        <f t="shared" ca="1" si="4"/>
        <v>0</v>
      </c>
      <c r="K29" t="str">
        <f t="shared" ca="1" si="5"/>
        <v>305,308,309,TURN_305_308_309,0</v>
      </c>
    </row>
    <row r="30" spans="1:13" x14ac:dyDescent="0.25">
      <c r="A30">
        <v>513</v>
      </c>
      <c r="B30">
        <v>408</v>
      </c>
      <c r="C30">
        <v>409</v>
      </c>
      <c r="D30">
        <v>0</v>
      </c>
      <c r="E30">
        <f t="shared" si="0"/>
        <v>10</v>
      </c>
      <c r="G30" t="b">
        <f t="shared" si="1"/>
        <v>0</v>
      </c>
      <c r="H30" t="str">
        <f t="shared" si="2"/>
        <v>TURN_513_408_409</v>
      </c>
      <c r="I30">
        <f t="shared" ca="1" si="3"/>
        <v>300</v>
      </c>
      <c r="J30">
        <f t="shared" ca="1" si="4"/>
        <v>300</v>
      </c>
      <c r="K30" t="str">
        <f t="shared" ca="1" si="5"/>
        <v>513,408,409,TURN_513_408_409,300</v>
      </c>
    </row>
    <row r="31" spans="1:13" x14ac:dyDescent="0.25">
      <c r="A31">
        <v>513</v>
      </c>
      <c r="B31">
        <v>408</v>
      </c>
      <c r="C31">
        <v>320</v>
      </c>
      <c r="D31">
        <v>0</v>
      </c>
      <c r="E31">
        <f t="shared" si="0"/>
        <v>10</v>
      </c>
      <c r="G31" t="b">
        <f t="shared" si="1"/>
        <v>0</v>
      </c>
      <c r="H31" t="str">
        <f t="shared" si="2"/>
        <v>TURN_513_408_320</v>
      </c>
      <c r="I31">
        <f t="shared" ca="1" si="3"/>
        <v>1000</v>
      </c>
      <c r="J31">
        <f t="shared" ca="1" si="4"/>
        <v>1000</v>
      </c>
      <c r="K31" t="str">
        <f t="shared" ca="1" si="5"/>
        <v>513,408,320,TURN_513_408_320,1000</v>
      </c>
    </row>
    <row r="32" spans="1:13" x14ac:dyDescent="0.25">
      <c r="A32">
        <v>513</v>
      </c>
      <c r="B32">
        <v>408</v>
      </c>
      <c r="C32">
        <v>513</v>
      </c>
      <c r="D32">
        <v>0</v>
      </c>
      <c r="E32">
        <f t="shared" si="0"/>
        <v>10</v>
      </c>
      <c r="F32">
        <v>0</v>
      </c>
      <c r="G32" t="b">
        <f t="shared" si="1"/>
        <v>1</v>
      </c>
      <c r="H32" t="str">
        <f t="shared" si="2"/>
        <v>TURN_513_408_513</v>
      </c>
      <c r="I32" t="e">
        <f t="shared" ca="1" si="3"/>
        <v>#REF!</v>
      </c>
      <c r="J32">
        <f t="shared" ca="1" si="4"/>
        <v>0</v>
      </c>
      <c r="K32" t="str">
        <f t="shared" ca="1" si="5"/>
        <v>513,408,513,TURN_513_408_513,0</v>
      </c>
    </row>
    <row r="33" spans="1:11" hidden="1" x14ac:dyDescent="0.25">
      <c r="A33">
        <v>314</v>
      </c>
      <c r="B33">
        <v>315</v>
      </c>
      <c r="C33">
        <v>118</v>
      </c>
      <c r="D33">
        <v>0</v>
      </c>
      <c r="E33" t="e">
        <f t="shared" si="0"/>
        <v>#N/A</v>
      </c>
      <c r="G33" t="b">
        <f t="shared" si="1"/>
        <v>0</v>
      </c>
      <c r="H33" t="str">
        <f t="shared" si="2"/>
        <v>TURN_314_315_118</v>
      </c>
      <c r="I33" t="e">
        <f t="shared" ca="1" si="3"/>
        <v>#REF!</v>
      </c>
      <c r="J33">
        <f t="shared" ca="1" si="4"/>
        <v>0</v>
      </c>
      <c r="K33" t="str">
        <f t="shared" ca="1" si="5"/>
        <v>314,315,118,TURN_314_315_118,0</v>
      </c>
    </row>
    <row r="34" spans="1:11" hidden="1" x14ac:dyDescent="0.25">
      <c r="A34">
        <v>314</v>
      </c>
      <c r="B34">
        <v>315</v>
      </c>
      <c r="C34">
        <v>316</v>
      </c>
      <c r="D34">
        <v>0</v>
      </c>
      <c r="E34" t="e">
        <f t="shared" si="0"/>
        <v>#N/A</v>
      </c>
      <c r="G34" t="b">
        <f t="shared" si="1"/>
        <v>0</v>
      </c>
      <c r="H34" t="str">
        <f t="shared" si="2"/>
        <v>TURN_314_315_316</v>
      </c>
      <c r="I34" t="e">
        <f t="shared" ca="1" si="3"/>
        <v>#REF!</v>
      </c>
      <c r="J34">
        <f t="shared" ca="1" si="4"/>
        <v>0</v>
      </c>
      <c r="K34" t="str">
        <f t="shared" ca="1" si="5"/>
        <v>314,315,316,TURN_314_315_316,0</v>
      </c>
    </row>
    <row r="35" spans="1:11" hidden="1" x14ac:dyDescent="0.25">
      <c r="A35">
        <v>314</v>
      </c>
      <c r="B35">
        <v>221</v>
      </c>
      <c r="C35">
        <v>222</v>
      </c>
      <c r="D35">
        <v>0</v>
      </c>
      <c r="E35" t="e">
        <f t="shared" si="0"/>
        <v>#N/A</v>
      </c>
      <c r="G35" t="b">
        <f t="shared" si="1"/>
        <v>0</v>
      </c>
      <c r="H35" t="str">
        <f t="shared" si="2"/>
        <v>TURN_314_221_222</v>
      </c>
      <c r="I35" t="e">
        <f t="shared" ca="1" si="3"/>
        <v>#REF!</v>
      </c>
      <c r="J35">
        <f t="shared" ca="1" si="4"/>
        <v>0</v>
      </c>
      <c r="K35" t="str">
        <f t="shared" ca="1" si="5"/>
        <v>314,221,222,TURN_314_221_222,0</v>
      </c>
    </row>
    <row r="36" spans="1:11" hidden="1" x14ac:dyDescent="0.25">
      <c r="A36">
        <v>105</v>
      </c>
      <c r="B36">
        <v>108</v>
      </c>
      <c r="C36">
        <v>109</v>
      </c>
      <c r="D36">
        <v>0</v>
      </c>
      <c r="E36" t="e">
        <f t="shared" si="0"/>
        <v>#N/A</v>
      </c>
      <c r="G36" t="b">
        <f t="shared" si="1"/>
        <v>0</v>
      </c>
      <c r="H36" t="str">
        <f t="shared" si="2"/>
        <v>TURN_105_108_109</v>
      </c>
      <c r="I36" t="e">
        <f t="shared" ca="1" si="3"/>
        <v>#REF!</v>
      </c>
      <c r="J36">
        <f t="shared" ca="1" si="4"/>
        <v>0</v>
      </c>
      <c r="K36" t="str">
        <f t="shared" ca="1" si="5"/>
        <v>105,108,109,TURN_105_108_109,0</v>
      </c>
    </row>
    <row r="37" spans="1:11" hidden="1" x14ac:dyDescent="0.25">
      <c r="A37">
        <v>103</v>
      </c>
      <c r="B37">
        <v>104</v>
      </c>
      <c r="C37">
        <v>105</v>
      </c>
      <c r="D37">
        <v>0</v>
      </c>
      <c r="E37" t="e">
        <f t="shared" si="0"/>
        <v>#N/A</v>
      </c>
      <c r="G37" t="b">
        <f t="shared" si="1"/>
        <v>0</v>
      </c>
      <c r="H37" t="str">
        <f t="shared" si="2"/>
        <v>TURN_103_104_105</v>
      </c>
      <c r="I37" t="e">
        <f t="shared" ca="1" si="3"/>
        <v>#REF!</v>
      </c>
      <c r="J37">
        <f t="shared" ca="1" si="4"/>
        <v>0</v>
      </c>
      <c r="K37" t="str">
        <f t="shared" ca="1" si="5"/>
        <v>103,104,105,TURN_103_104_105,0</v>
      </c>
    </row>
    <row r="38" spans="1:11" hidden="1" x14ac:dyDescent="0.25">
      <c r="A38">
        <v>107</v>
      </c>
      <c r="B38">
        <v>108</v>
      </c>
      <c r="C38">
        <v>109</v>
      </c>
      <c r="D38">
        <v>0</v>
      </c>
      <c r="E38" t="e">
        <f t="shared" si="0"/>
        <v>#N/A</v>
      </c>
      <c r="G38" t="b">
        <f t="shared" si="1"/>
        <v>0</v>
      </c>
      <c r="H38" t="str">
        <f t="shared" si="2"/>
        <v>TURN_107_108_109</v>
      </c>
      <c r="I38" t="e">
        <f t="shared" ca="1" si="3"/>
        <v>#REF!</v>
      </c>
      <c r="J38">
        <f t="shared" ca="1" si="4"/>
        <v>0</v>
      </c>
      <c r="K38" t="str">
        <f t="shared" ca="1" si="5"/>
        <v>107,108,109,TURN_107_108_109,0</v>
      </c>
    </row>
    <row r="39" spans="1:11" hidden="1" x14ac:dyDescent="0.25">
      <c r="A39">
        <v>315</v>
      </c>
      <c r="B39">
        <v>118</v>
      </c>
      <c r="C39">
        <v>119</v>
      </c>
      <c r="D39">
        <v>0</v>
      </c>
      <c r="E39" t="e">
        <f t="shared" si="0"/>
        <v>#N/A</v>
      </c>
      <c r="G39" t="b">
        <f t="shared" si="1"/>
        <v>0</v>
      </c>
      <c r="H39" t="str">
        <f t="shared" si="2"/>
        <v>TURN_315_118_119</v>
      </c>
      <c r="I39" t="e">
        <f t="shared" ca="1" si="3"/>
        <v>#REF!</v>
      </c>
      <c r="J39">
        <f t="shared" ca="1" si="4"/>
        <v>0</v>
      </c>
      <c r="K39" t="str">
        <f t="shared" ca="1" si="5"/>
        <v>315,118,119,TURN_315_118_119,0</v>
      </c>
    </row>
    <row r="40" spans="1:11" hidden="1" x14ac:dyDescent="0.25">
      <c r="A40">
        <v>315</v>
      </c>
      <c r="B40">
        <v>316</v>
      </c>
      <c r="C40">
        <v>317</v>
      </c>
      <c r="D40">
        <v>0</v>
      </c>
      <c r="E40" t="e">
        <f t="shared" si="0"/>
        <v>#N/A</v>
      </c>
      <c r="G40" t="b">
        <f t="shared" si="1"/>
        <v>0</v>
      </c>
      <c r="H40" t="str">
        <f t="shared" si="2"/>
        <v>TURN_315_316_317</v>
      </c>
      <c r="I40" t="e">
        <f t="shared" ca="1" si="3"/>
        <v>#REF!</v>
      </c>
      <c r="J40">
        <f t="shared" ca="1" si="4"/>
        <v>0</v>
      </c>
      <c r="K40" t="str">
        <f t="shared" ca="1" si="5"/>
        <v>315,316,317,TURN_315_316_317,0</v>
      </c>
    </row>
    <row r="41" spans="1:11" x14ac:dyDescent="0.25">
      <c r="A41">
        <v>509</v>
      </c>
      <c r="B41">
        <v>320</v>
      </c>
      <c r="C41">
        <v>321</v>
      </c>
      <c r="D41">
        <v>0</v>
      </c>
      <c r="E41">
        <f t="shared" si="0"/>
        <v>7</v>
      </c>
      <c r="F41">
        <v>350</v>
      </c>
      <c r="G41" t="b">
        <f t="shared" si="1"/>
        <v>0</v>
      </c>
      <c r="H41" t="str">
        <f t="shared" si="2"/>
        <v>TURN_509_320_321</v>
      </c>
      <c r="I41">
        <f t="shared" ca="1" si="3"/>
        <v>300</v>
      </c>
      <c r="J41">
        <f t="shared" ca="1" si="4"/>
        <v>300</v>
      </c>
      <c r="K41" t="str">
        <f t="shared" ca="1" si="5"/>
        <v>509,320,321,TURN_509_320_321,300</v>
      </c>
    </row>
    <row r="42" spans="1:11" x14ac:dyDescent="0.25">
      <c r="A42">
        <v>509</v>
      </c>
      <c r="B42">
        <v>320</v>
      </c>
      <c r="C42">
        <v>408</v>
      </c>
      <c r="D42">
        <v>0</v>
      </c>
      <c r="E42">
        <f t="shared" si="0"/>
        <v>7</v>
      </c>
      <c r="G42" t="b">
        <f t="shared" si="1"/>
        <v>0</v>
      </c>
      <c r="H42" t="str">
        <f t="shared" si="2"/>
        <v>TURN_509_320_408</v>
      </c>
      <c r="I42">
        <f t="shared" ca="1" si="3"/>
        <v>700</v>
      </c>
      <c r="J42">
        <f t="shared" ca="1" si="4"/>
        <v>700</v>
      </c>
      <c r="K42" t="str">
        <f t="shared" ca="1" si="5"/>
        <v>509,320,408,TURN_509_320_408,700</v>
      </c>
    </row>
    <row r="43" spans="1:11" x14ac:dyDescent="0.25">
      <c r="A43">
        <v>509</v>
      </c>
      <c r="B43">
        <v>320</v>
      </c>
      <c r="C43">
        <v>509</v>
      </c>
      <c r="D43">
        <v>0</v>
      </c>
      <c r="E43">
        <f t="shared" si="0"/>
        <v>7</v>
      </c>
      <c r="F43">
        <v>0</v>
      </c>
      <c r="G43" t="b">
        <f t="shared" si="1"/>
        <v>1</v>
      </c>
      <c r="H43" t="str">
        <f t="shared" si="2"/>
        <v>TURN_509_320_509</v>
      </c>
      <c r="I43" t="e">
        <f t="shared" ca="1" si="3"/>
        <v>#REF!</v>
      </c>
      <c r="J43">
        <f t="shared" ca="1" si="4"/>
        <v>0</v>
      </c>
      <c r="K43" t="str">
        <f t="shared" ca="1" si="5"/>
        <v>509,320,509,TURN_509_320_509,0</v>
      </c>
    </row>
    <row r="44" spans="1:11" x14ac:dyDescent="0.25">
      <c r="A44">
        <v>509</v>
      </c>
      <c r="B44">
        <v>504</v>
      </c>
      <c r="C44">
        <v>509</v>
      </c>
      <c r="D44">
        <v>0</v>
      </c>
      <c r="E44">
        <f t="shared" si="0"/>
        <v>1</v>
      </c>
      <c r="F44">
        <v>0</v>
      </c>
      <c r="G44" t="b">
        <f t="shared" si="1"/>
        <v>1</v>
      </c>
      <c r="H44" t="str">
        <f t="shared" si="2"/>
        <v>TURN_509_504_509</v>
      </c>
      <c r="I44" t="e">
        <f t="shared" ca="1" si="3"/>
        <v>#REF!</v>
      </c>
      <c r="J44">
        <f t="shared" ca="1" si="4"/>
        <v>0</v>
      </c>
      <c r="K44" t="str">
        <f t="shared" ca="1" si="5"/>
        <v>509,504,509,TURN_509_504_509,0</v>
      </c>
    </row>
    <row r="45" spans="1:11" x14ac:dyDescent="0.25">
      <c r="A45">
        <v>509</v>
      </c>
      <c r="B45">
        <v>504</v>
      </c>
      <c r="C45">
        <v>500</v>
      </c>
      <c r="D45">
        <v>0</v>
      </c>
      <c r="E45">
        <f t="shared" si="0"/>
        <v>1</v>
      </c>
      <c r="G45" t="b">
        <f t="shared" si="1"/>
        <v>0</v>
      </c>
      <c r="H45" t="str">
        <f t="shared" si="2"/>
        <v>TURN_509_504_500</v>
      </c>
      <c r="I45">
        <f t="shared" ca="1" si="3"/>
        <v>1100</v>
      </c>
      <c r="J45">
        <f t="shared" ca="1" si="4"/>
        <v>1100</v>
      </c>
      <c r="K45" t="str">
        <f t="shared" ca="1" si="5"/>
        <v>509,504,500,TURN_509_504_500,1100</v>
      </c>
    </row>
    <row r="46" spans="1:11" x14ac:dyDescent="0.25">
      <c r="A46">
        <v>509</v>
      </c>
      <c r="B46">
        <v>504</v>
      </c>
      <c r="C46">
        <v>110</v>
      </c>
      <c r="D46">
        <v>0</v>
      </c>
      <c r="E46">
        <f t="shared" si="0"/>
        <v>1</v>
      </c>
      <c r="G46" t="b">
        <f t="shared" si="1"/>
        <v>0</v>
      </c>
      <c r="H46" t="str">
        <f t="shared" si="2"/>
        <v>TURN_509_504_110</v>
      </c>
      <c r="I46">
        <f t="shared" ca="1" si="3"/>
        <v>100</v>
      </c>
      <c r="J46">
        <f t="shared" ca="1" si="4"/>
        <v>100</v>
      </c>
      <c r="K46" t="str">
        <f t="shared" ca="1" si="5"/>
        <v>509,504,110,TURN_509_504_110,100</v>
      </c>
    </row>
    <row r="47" spans="1:11" x14ac:dyDescent="0.25">
      <c r="A47">
        <v>509</v>
      </c>
      <c r="B47">
        <v>504</v>
      </c>
      <c r="C47">
        <v>505</v>
      </c>
      <c r="D47">
        <v>0</v>
      </c>
      <c r="E47">
        <f t="shared" si="0"/>
        <v>1</v>
      </c>
      <c r="G47" t="b">
        <f t="shared" si="1"/>
        <v>0</v>
      </c>
      <c r="H47" t="str">
        <f t="shared" si="2"/>
        <v>TURN_509_504_505</v>
      </c>
      <c r="I47">
        <f t="shared" ca="1" si="3"/>
        <v>50</v>
      </c>
      <c r="J47">
        <f t="shared" ca="1" si="4"/>
        <v>50</v>
      </c>
      <c r="K47" t="str">
        <f t="shared" ca="1" si="5"/>
        <v>509,504,505,TURN_509_504_505,50</v>
      </c>
    </row>
    <row r="48" spans="1:11" x14ac:dyDescent="0.25">
      <c r="A48">
        <v>509</v>
      </c>
      <c r="B48">
        <v>113</v>
      </c>
      <c r="C48">
        <v>114</v>
      </c>
      <c r="D48">
        <v>0</v>
      </c>
      <c r="E48">
        <f t="shared" si="0"/>
        <v>14</v>
      </c>
      <c r="F48">
        <v>225</v>
      </c>
      <c r="G48" t="b">
        <f t="shared" si="1"/>
        <v>0</v>
      </c>
      <c r="H48" t="str">
        <f t="shared" si="2"/>
        <v>TURN_509_113_114</v>
      </c>
      <c r="I48">
        <f t="shared" ca="1" si="3"/>
        <v>300</v>
      </c>
      <c r="J48">
        <f t="shared" ca="1" si="4"/>
        <v>300</v>
      </c>
      <c r="K48" t="str">
        <f t="shared" ca="1" si="5"/>
        <v>509,113,114,TURN_509_113_114,300</v>
      </c>
    </row>
    <row r="49" spans="1:11" x14ac:dyDescent="0.25">
      <c r="A49">
        <v>509</v>
      </c>
      <c r="B49">
        <v>113</v>
      </c>
      <c r="C49">
        <v>224</v>
      </c>
      <c r="D49">
        <v>0</v>
      </c>
      <c r="E49">
        <f t="shared" si="0"/>
        <v>14</v>
      </c>
      <c r="G49" t="b">
        <f t="shared" si="1"/>
        <v>0</v>
      </c>
      <c r="H49" t="str">
        <f t="shared" si="2"/>
        <v>TURN_509_113_224</v>
      </c>
      <c r="I49">
        <f t="shared" ca="1" si="3"/>
        <v>800</v>
      </c>
      <c r="J49">
        <f t="shared" ca="1" si="4"/>
        <v>800</v>
      </c>
      <c r="K49" t="str">
        <f t="shared" ca="1" si="5"/>
        <v>509,113,224,TURN_509_113_224,800</v>
      </c>
    </row>
    <row r="50" spans="1:11" x14ac:dyDescent="0.25">
      <c r="A50">
        <v>509</v>
      </c>
      <c r="B50">
        <v>113</v>
      </c>
      <c r="C50">
        <v>509</v>
      </c>
      <c r="D50">
        <v>0</v>
      </c>
      <c r="E50">
        <f t="shared" si="0"/>
        <v>14</v>
      </c>
      <c r="F50">
        <v>0</v>
      </c>
      <c r="G50" t="b">
        <f t="shared" si="1"/>
        <v>1</v>
      </c>
      <c r="H50" t="str">
        <f t="shared" si="2"/>
        <v>TURN_509_113_509</v>
      </c>
      <c r="I50" t="e">
        <f t="shared" ca="1" si="3"/>
        <v>#REF!</v>
      </c>
      <c r="J50">
        <f t="shared" ca="1" si="4"/>
        <v>0</v>
      </c>
      <c r="K50" t="str">
        <f t="shared" ca="1" si="5"/>
        <v>509,113,509,TURN_509_113_509,0</v>
      </c>
    </row>
    <row r="51" spans="1:11" x14ac:dyDescent="0.25">
      <c r="A51">
        <v>509</v>
      </c>
      <c r="B51">
        <v>510</v>
      </c>
      <c r="C51">
        <v>323</v>
      </c>
      <c r="D51">
        <v>0</v>
      </c>
      <c r="E51">
        <f t="shared" si="0"/>
        <v>5</v>
      </c>
      <c r="G51" t="b">
        <f t="shared" si="1"/>
        <v>0</v>
      </c>
      <c r="H51" t="str">
        <f t="shared" si="2"/>
        <v>TURN_509_510_323</v>
      </c>
      <c r="I51">
        <f t="shared" ca="1" si="3"/>
        <v>50</v>
      </c>
      <c r="J51">
        <f t="shared" ca="1" si="4"/>
        <v>50</v>
      </c>
      <c r="K51" t="str">
        <f t="shared" ca="1" si="5"/>
        <v>509,510,323,TURN_509_510_323,50</v>
      </c>
    </row>
    <row r="52" spans="1:11" x14ac:dyDescent="0.25">
      <c r="A52">
        <v>509</v>
      </c>
      <c r="B52">
        <v>510</v>
      </c>
      <c r="C52">
        <v>505</v>
      </c>
      <c r="D52">
        <v>0</v>
      </c>
      <c r="E52">
        <f t="shared" si="0"/>
        <v>5</v>
      </c>
      <c r="G52" t="b">
        <f t="shared" si="1"/>
        <v>0</v>
      </c>
      <c r="H52" t="str">
        <f t="shared" si="2"/>
        <v>TURN_509_510_505</v>
      </c>
      <c r="I52">
        <f t="shared" ca="1" si="3"/>
        <v>100</v>
      </c>
      <c r="J52">
        <f t="shared" ca="1" si="4"/>
        <v>100</v>
      </c>
      <c r="K52" t="str">
        <f t="shared" ca="1" si="5"/>
        <v>509,510,505,TURN_509_510_505,100</v>
      </c>
    </row>
    <row r="53" spans="1:11" x14ac:dyDescent="0.25">
      <c r="A53">
        <v>509</v>
      </c>
      <c r="B53">
        <v>510</v>
      </c>
      <c r="C53">
        <v>509</v>
      </c>
      <c r="D53">
        <v>0</v>
      </c>
      <c r="E53">
        <f t="shared" si="0"/>
        <v>5</v>
      </c>
      <c r="F53">
        <v>0</v>
      </c>
      <c r="G53" t="b">
        <f t="shared" si="1"/>
        <v>1</v>
      </c>
      <c r="H53" t="str">
        <f t="shared" si="2"/>
        <v>TURN_509_510_509</v>
      </c>
      <c r="I53" t="e">
        <f t="shared" ca="1" si="3"/>
        <v>#REF!</v>
      </c>
      <c r="J53">
        <f t="shared" ca="1" si="4"/>
        <v>0</v>
      </c>
      <c r="K53" t="str">
        <f t="shared" ca="1" si="5"/>
        <v>509,510,509,TURN_509_510_509,0</v>
      </c>
    </row>
    <row r="54" spans="1:11" x14ac:dyDescent="0.25">
      <c r="A54">
        <v>509</v>
      </c>
      <c r="B54">
        <v>510</v>
      </c>
      <c r="C54">
        <v>511</v>
      </c>
      <c r="D54">
        <v>0</v>
      </c>
      <c r="E54">
        <f t="shared" si="0"/>
        <v>5</v>
      </c>
      <c r="G54" t="b">
        <f t="shared" si="1"/>
        <v>0</v>
      </c>
      <c r="H54" t="str">
        <f t="shared" si="2"/>
        <v>TURN_509_510_511</v>
      </c>
      <c r="I54">
        <f t="shared" ca="1" si="3"/>
        <v>1600</v>
      </c>
      <c r="J54">
        <f t="shared" ca="1" si="4"/>
        <v>1600</v>
      </c>
      <c r="K54" t="str">
        <f t="shared" ca="1" si="5"/>
        <v>509,510,511,TURN_509_510_511,1600</v>
      </c>
    </row>
    <row r="55" spans="1:11" hidden="1" x14ac:dyDescent="0.25">
      <c r="A55">
        <v>413</v>
      </c>
      <c r="B55">
        <v>414</v>
      </c>
      <c r="C55">
        <v>415</v>
      </c>
      <c r="D55">
        <v>0</v>
      </c>
      <c r="E55" t="e">
        <f t="shared" si="0"/>
        <v>#N/A</v>
      </c>
      <c r="G55" t="b">
        <f t="shared" si="1"/>
        <v>0</v>
      </c>
      <c r="H55" t="str">
        <f t="shared" si="2"/>
        <v>TURN_413_414_415</v>
      </c>
      <c r="I55" t="e">
        <f t="shared" ca="1" si="3"/>
        <v>#REF!</v>
      </c>
      <c r="J55">
        <f t="shared" ca="1" si="4"/>
        <v>0</v>
      </c>
      <c r="K55" t="str">
        <f t="shared" ca="1" si="5"/>
        <v>413,414,415,TURN_413_414_415,0</v>
      </c>
    </row>
    <row r="56" spans="1:11" hidden="1" x14ac:dyDescent="0.25">
      <c r="A56">
        <v>218</v>
      </c>
      <c r="B56">
        <v>414</v>
      </c>
      <c r="C56">
        <v>415</v>
      </c>
      <c r="D56">
        <v>0</v>
      </c>
      <c r="E56" t="e">
        <f t="shared" si="0"/>
        <v>#N/A</v>
      </c>
      <c r="G56" t="b">
        <f t="shared" si="1"/>
        <v>0</v>
      </c>
      <c r="H56" t="str">
        <f t="shared" si="2"/>
        <v>TURN_218_414_415</v>
      </c>
      <c r="I56" t="e">
        <f t="shared" ca="1" si="3"/>
        <v>#REF!</v>
      </c>
      <c r="J56">
        <f t="shared" ca="1" si="4"/>
        <v>0</v>
      </c>
      <c r="K56" t="str">
        <f t="shared" ca="1" si="5"/>
        <v>218,414,415,TURN_218_414_415,0</v>
      </c>
    </row>
    <row r="57" spans="1:11" hidden="1" x14ac:dyDescent="0.25">
      <c r="A57">
        <v>218</v>
      </c>
      <c r="B57">
        <v>219</v>
      </c>
      <c r="C57">
        <v>316</v>
      </c>
      <c r="D57">
        <v>0</v>
      </c>
      <c r="E57" t="e">
        <f t="shared" si="0"/>
        <v>#N/A</v>
      </c>
      <c r="G57" t="b">
        <f t="shared" si="1"/>
        <v>0</v>
      </c>
      <c r="H57" t="str">
        <f t="shared" si="2"/>
        <v>TURN_218_219_316</v>
      </c>
      <c r="I57" t="e">
        <f t="shared" ca="1" si="3"/>
        <v>#REF!</v>
      </c>
      <c r="J57">
        <f t="shared" ca="1" si="4"/>
        <v>0</v>
      </c>
      <c r="K57" t="str">
        <f t="shared" ca="1" si="5"/>
        <v>218,219,316,TURN_218_219_316,0</v>
      </c>
    </row>
    <row r="58" spans="1:11" hidden="1" x14ac:dyDescent="0.25">
      <c r="A58">
        <v>218</v>
      </c>
      <c r="B58">
        <v>219</v>
      </c>
      <c r="C58">
        <v>220</v>
      </c>
      <c r="D58">
        <v>0</v>
      </c>
      <c r="E58" t="e">
        <f t="shared" si="0"/>
        <v>#N/A</v>
      </c>
      <c r="G58" t="b">
        <f t="shared" si="1"/>
        <v>0</v>
      </c>
      <c r="H58" t="str">
        <f t="shared" si="2"/>
        <v>TURN_218_219_220</v>
      </c>
      <c r="I58" t="e">
        <f t="shared" ca="1" si="3"/>
        <v>#REF!</v>
      </c>
      <c r="J58">
        <f t="shared" ca="1" si="4"/>
        <v>0</v>
      </c>
      <c r="K58" t="str">
        <f t="shared" ca="1" si="5"/>
        <v>218,219,220,TURN_218_219_220,0</v>
      </c>
    </row>
    <row r="59" spans="1:11" hidden="1" x14ac:dyDescent="0.25">
      <c r="A59">
        <v>110</v>
      </c>
      <c r="B59">
        <v>111</v>
      </c>
      <c r="C59">
        <v>112</v>
      </c>
      <c r="D59">
        <v>0</v>
      </c>
      <c r="E59" t="e">
        <f t="shared" si="0"/>
        <v>#N/A</v>
      </c>
      <c r="G59" t="b">
        <f t="shared" si="1"/>
        <v>0</v>
      </c>
      <c r="H59" t="str">
        <f t="shared" si="2"/>
        <v>TURN_110_111_112</v>
      </c>
      <c r="I59" t="e">
        <f t="shared" ca="1" si="3"/>
        <v>#REF!</v>
      </c>
      <c r="J59">
        <f t="shared" ca="1" si="4"/>
        <v>0</v>
      </c>
      <c r="K59" t="str">
        <f t="shared" ca="1" si="5"/>
        <v>110,111,112,TURN_110_111_112,0</v>
      </c>
    </row>
    <row r="60" spans="1:11" x14ac:dyDescent="0.25">
      <c r="A60">
        <v>110</v>
      </c>
      <c r="B60">
        <v>227</v>
      </c>
      <c r="C60">
        <v>228</v>
      </c>
      <c r="D60">
        <v>0</v>
      </c>
      <c r="E60">
        <f t="shared" si="0"/>
        <v>15</v>
      </c>
      <c r="F60">
        <v>600</v>
      </c>
      <c r="G60" t="b">
        <f t="shared" si="1"/>
        <v>0</v>
      </c>
      <c r="H60" t="str">
        <f t="shared" si="2"/>
        <v>TURN_110_227_228</v>
      </c>
      <c r="I60">
        <f t="shared" ca="1" si="3"/>
        <v>600</v>
      </c>
      <c r="J60">
        <f t="shared" ca="1" si="4"/>
        <v>600</v>
      </c>
      <c r="K60" t="str">
        <f t="shared" ca="1" si="5"/>
        <v>110,227,228,TURN_110_227_228,600</v>
      </c>
    </row>
    <row r="61" spans="1:11" x14ac:dyDescent="0.25">
      <c r="A61">
        <v>110</v>
      </c>
      <c r="B61">
        <v>227</v>
      </c>
      <c r="C61">
        <v>110</v>
      </c>
      <c r="D61">
        <v>0</v>
      </c>
      <c r="E61">
        <f t="shared" si="0"/>
        <v>15</v>
      </c>
      <c r="F61">
        <v>0</v>
      </c>
      <c r="G61" t="b">
        <f t="shared" si="1"/>
        <v>1</v>
      </c>
      <c r="H61" t="str">
        <f t="shared" si="2"/>
        <v>TURN_110_227_110</v>
      </c>
      <c r="I61" t="e">
        <f t="shared" ca="1" si="3"/>
        <v>#REF!</v>
      </c>
      <c r="J61">
        <f t="shared" ca="1" si="4"/>
        <v>0</v>
      </c>
      <c r="K61" t="str">
        <f t="shared" ca="1" si="5"/>
        <v>110,227,110,TURN_110_227_110,0</v>
      </c>
    </row>
    <row r="62" spans="1:11" x14ac:dyDescent="0.25">
      <c r="A62">
        <v>110</v>
      </c>
      <c r="B62">
        <v>227</v>
      </c>
      <c r="C62">
        <v>503</v>
      </c>
      <c r="D62">
        <v>0</v>
      </c>
      <c r="E62">
        <f t="shared" si="0"/>
        <v>15</v>
      </c>
      <c r="G62" t="b">
        <f t="shared" si="1"/>
        <v>0</v>
      </c>
      <c r="H62" t="str">
        <f t="shared" si="2"/>
        <v>TURN_110_227_503</v>
      </c>
      <c r="I62">
        <f t="shared" ca="1" si="3"/>
        <v>850</v>
      </c>
      <c r="J62">
        <f t="shared" ca="1" si="4"/>
        <v>850</v>
      </c>
      <c r="K62" t="str">
        <f t="shared" ca="1" si="5"/>
        <v>110,227,503,TURN_110_227_503,850</v>
      </c>
    </row>
    <row r="63" spans="1:11" x14ac:dyDescent="0.25">
      <c r="A63">
        <v>110</v>
      </c>
      <c r="B63">
        <v>504</v>
      </c>
      <c r="C63">
        <v>509</v>
      </c>
      <c r="D63">
        <v>0</v>
      </c>
      <c r="E63">
        <f t="shared" si="0"/>
        <v>1</v>
      </c>
      <c r="G63" t="b">
        <f t="shared" si="1"/>
        <v>0</v>
      </c>
      <c r="H63" t="str">
        <f t="shared" si="2"/>
        <v>TURN_110_504_509</v>
      </c>
      <c r="I63">
        <f t="shared" ca="1" si="3"/>
        <v>250</v>
      </c>
      <c r="J63">
        <f t="shared" ca="1" si="4"/>
        <v>250</v>
      </c>
      <c r="K63" t="str">
        <f t="shared" ca="1" si="5"/>
        <v>110,504,509,TURN_110_504_509,250</v>
      </c>
    </row>
    <row r="64" spans="1:11" x14ac:dyDescent="0.25">
      <c r="A64">
        <v>110</v>
      </c>
      <c r="B64">
        <v>504</v>
      </c>
      <c r="C64">
        <v>500</v>
      </c>
      <c r="D64">
        <v>0</v>
      </c>
      <c r="E64">
        <f t="shared" si="0"/>
        <v>1</v>
      </c>
      <c r="G64" t="b">
        <f t="shared" si="1"/>
        <v>0</v>
      </c>
      <c r="H64" t="str">
        <f t="shared" si="2"/>
        <v>TURN_110_504_500</v>
      </c>
      <c r="I64">
        <f t="shared" ca="1" si="3"/>
        <v>100</v>
      </c>
      <c r="J64">
        <f t="shared" ca="1" si="4"/>
        <v>100</v>
      </c>
      <c r="K64" t="str">
        <f t="shared" ca="1" si="5"/>
        <v>110,504,500,TURN_110_504_500,100</v>
      </c>
    </row>
    <row r="65" spans="1:11" x14ac:dyDescent="0.25">
      <c r="A65">
        <v>110</v>
      </c>
      <c r="B65">
        <v>504</v>
      </c>
      <c r="C65">
        <v>110</v>
      </c>
      <c r="D65">
        <v>0</v>
      </c>
      <c r="E65">
        <f t="shared" si="0"/>
        <v>1</v>
      </c>
      <c r="F65">
        <v>0</v>
      </c>
      <c r="G65" t="b">
        <f t="shared" si="1"/>
        <v>1</v>
      </c>
      <c r="H65" t="str">
        <f t="shared" si="2"/>
        <v>TURN_110_504_110</v>
      </c>
      <c r="I65" t="e">
        <f t="shared" ca="1" si="3"/>
        <v>#REF!</v>
      </c>
      <c r="J65">
        <f t="shared" ca="1" si="4"/>
        <v>0</v>
      </c>
      <c r="K65" t="str">
        <f t="shared" ca="1" si="5"/>
        <v>110,504,110,TURN_110_504_110,0</v>
      </c>
    </row>
    <row r="66" spans="1:11" x14ac:dyDescent="0.25">
      <c r="A66">
        <v>110</v>
      </c>
      <c r="B66">
        <v>504</v>
      </c>
      <c r="C66">
        <v>505</v>
      </c>
      <c r="D66">
        <v>0</v>
      </c>
      <c r="E66">
        <f t="shared" ref="E66:E129" si="6">MATCH(B66,$M$3:$M$18,0)</f>
        <v>1</v>
      </c>
      <c r="G66" t="b">
        <f t="shared" ref="G66:G129" si="7">A66=C66</f>
        <v>0</v>
      </c>
      <c r="H66" t="str">
        <f t="shared" si="2"/>
        <v>TURN_110_504_505</v>
      </c>
      <c r="I66">
        <f t="shared" ca="1" si="3"/>
        <v>800</v>
      </c>
      <c r="J66">
        <f t="shared" ca="1" si="4"/>
        <v>800</v>
      </c>
      <c r="K66" t="str">
        <f t="shared" ca="1" si="5"/>
        <v>110,504,505,TURN_110_504_505,800</v>
      </c>
    </row>
    <row r="67" spans="1:11" hidden="1" x14ac:dyDescent="0.25">
      <c r="A67">
        <v>219</v>
      </c>
      <c r="B67">
        <v>316</v>
      </c>
      <c r="C67">
        <v>317</v>
      </c>
      <c r="D67">
        <v>0</v>
      </c>
      <c r="E67" t="e">
        <f t="shared" si="6"/>
        <v>#N/A</v>
      </c>
      <c r="G67" t="b">
        <f t="shared" si="7"/>
        <v>0</v>
      </c>
      <c r="H67" t="str">
        <f t="shared" ref="H67:H130" si="8">"TURN_"&amp;A67&amp;"_"&amp;B67&amp;"_"&amp;C67</f>
        <v>TURN_219_316_317</v>
      </c>
      <c r="I67" t="e">
        <f t="shared" ref="I67:I130" ca="1" si="9">INDIRECT("targets!"&amp;H67)</f>
        <v>#REF!</v>
      </c>
      <c r="J67">
        <f t="shared" ref="J67:J130" ca="1" si="10">IFERROR(I67,0)</f>
        <v>0</v>
      </c>
      <c r="K67" t="str">
        <f t="shared" ref="K67:K130" ca="1" si="11">CONCATENATE(A67,",",B67,",",C67,",",H67,",",J67)</f>
        <v>219,316,317,TURN_219_316_317,0</v>
      </c>
    </row>
    <row r="68" spans="1:11" hidden="1" x14ac:dyDescent="0.25">
      <c r="A68">
        <v>219</v>
      </c>
      <c r="B68">
        <v>220</v>
      </c>
      <c r="C68">
        <v>221</v>
      </c>
      <c r="D68">
        <v>0</v>
      </c>
      <c r="E68" t="e">
        <f t="shared" si="6"/>
        <v>#N/A</v>
      </c>
      <c r="G68" t="b">
        <f t="shared" si="7"/>
        <v>0</v>
      </c>
      <c r="H68" t="str">
        <f t="shared" si="8"/>
        <v>TURN_219_220_221</v>
      </c>
      <c r="I68" t="e">
        <f t="shared" ca="1" si="9"/>
        <v>#REF!</v>
      </c>
      <c r="J68">
        <f t="shared" ca="1" si="10"/>
        <v>0</v>
      </c>
      <c r="K68" t="str">
        <f t="shared" ca="1" si="11"/>
        <v>219,220,221,TURN_219_220_221,0</v>
      </c>
    </row>
    <row r="69" spans="1:11" hidden="1" x14ac:dyDescent="0.25">
      <c r="A69">
        <v>220</v>
      </c>
      <c r="B69">
        <v>221</v>
      </c>
      <c r="C69">
        <v>222</v>
      </c>
      <c r="D69">
        <v>0</v>
      </c>
      <c r="E69" t="e">
        <f t="shared" si="6"/>
        <v>#N/A</v>
      </c>
      <c r="G69" t="b">
        <f t="shared" si="7"/>
        <v>0</v>
      </c>
      <c r="H69" t="str">
        <f t="shared" si="8"/>
        <v>TURN_220_221_222</v>
      </c>
      <c r="I69" t="e">
        <f t="shared" ca="1" si="9"/>
        <v>#REF!</v>
      </c>
      <c r="J69">
        <f t="shared" ca="1" si="10"/>
        <v>0</v>
      </c>
      <c r="K69" t="str">
        <f t="shared" ca="1" si="11"/>
        <v>220,221,222,TURN_220_221_222,0</v>
      </c>
    </row>
    <row r="70" spans="1:11" hidden="1" x14ac:dyDescent="0.25">
      <c r="A70">
        <v>111</v>
      </c>
      <c r="B70">
        <v>112</v>
      </c>
      <c r="C70">
        <v>113</v>
      </c>
      <c r="D70">
        <v>0</v>
      </c>
      <c r="E70" t="e">
        <f t="shared" si="6"/>
        <v>#N/A</v>
      </c>
      <c r="G70" t="b">
        <f t="shared" si="7"/>
        <v>0</v>
      </c>
      <c r="H70" t="str">
        <f t="shared" si="8"/>
        <v>TURN_111_112_113</v>
      </c>
      <c r="I70" t="e">
        <f t="shared" ca="1" si="9"/>
        <v>#REF!</v>
      </c>
      <c r="J70">
        <f t="shared" ca="1" si="10"/>
        <v>0</v>
      </c>
      <c r="K70" t="str">
        <f t="shared" ca="1" si="11"/>
        <v>111,112,113,TURN_111_112_113,0</v>
      </c>
    </row>
    <row r="71" spans="1:11" hidden="1" x14ac:dyDescent="0.25">
      <c r="A71">
        <v>111</v>
      </c>
      <c r="B71">
        <v>112</v>
      </c>
      <c r="C71">
        <v>114</v>
      </c>
      <c r="D71">
        <v>0</v>
      </c>
      <c r="E71" t="e">
        <f t="shared" si="6"/>
        <v>#N/A</v>
      </c>
      <c r="G71" t="b">
        <f t="shared" si="7"/>
        <v>0</v>
      </c>
      <c r="H71" t="str">
        <f t="shared" si="8"/>
        <v>TURN_111_112_114</v>
      </c>
      <c r="I71" t="e">
        <f t="shared" ca="1" si="9"/>
        <v>#REF!</v>
      </c>
      <c r="J71">
        <f t="shared" ca="1" si="10"/>
        <v>0</v>
      </c>
      <c r="K71" t="str">
        <f t="shared" ca="1" si="11"/>
        <v>111,112,114,TURN_111_112_114,0</v>
      </c>
    </row>
    <row r="72" spans="1:11" hidden="1" x14ac:dyDescent="0.25">
      <c r="A72">
        <v>221</v>
      </c>
      <c r="B72">
        <v>222</v>
      </c>
      <c r="C72">
        <v>223</v>
      </c>
      <c r="D72">
        <v>0</v>
      </c>
      <c r="E72" t="e">
        <f t="shared" si="6"/>
        <v>#N/A</v>
      </c>
      <c r="G72" t="b">
        <f t="shared" si="7"/>
        <v>0</v>
      </c>
      <c r="H72" t="str">
        <f t="shared" si="8"/>
        <v>TURN_221_222_223</v>
      </c>
      <c r="I72" t="e">
        <f t="shared" ca="1" si="9"/>
        <v>#REF!</v>
      </c>
      <c r="J72">
        <f t="shared" ca="1" si="10"/>
        <v>0</v>
      </c>
      <c r="K72" t="str">
        <f t="shared" ca="1" si="11"/>
        <v>221,222,223,TURN_221_222_223,0</v>
      </c>
    </row>
    <row r="73" spans="1:11" x14ac:dyDescent="0.25">
      <c r="A73">
        <v>109</v>
      </c>
      <c r="B73">
        <v>110</v>
      </c>
      <c r="C73">
        <v>111</v>
      </c>
      <c r="D73">
        <v>0</v>
      </c>
      <c r="E73">
        <f t="shared" si="6"/>
        <v>16</v>
      </c>
      <c r="F73">
        <v>0</v>
      </c>
      <c r="G73" t="b">
        <f t="shared" si="7"/>
        <v>0</v>
      </c>
      <c r="H73" t="str">
        <f t="shared" si="8"/>
        <v>TURN_109_110_111</v>
      </c>
      <c r="I73" t="e">
        <f t="shared" ca="1" si="9"/>
        <v>#REF!</v>
      </c>
      <c r="J73">
        <f t="shared" ca="1" si="10"/>
        <v>0</v>
      </c>
      <c r="K73" t="str">
        <f t="shared" ca="1" si="11"/>
        <v>109,110,111,TURN_109_110_111,0</v>
      </c>
    </row>
    <row r="74" spans="1:11" x14ac:dyDescent="0.25">
      <c r="A74">
        <v>109</v>
      </c>
      <c r="B74">
        <v>110</v>
      </c>
      <c r="C74">
        <v>227</v>
      </c>
      <c r="D74">
        <v>0</v>
      </c>
      <c r="E74">
        <f t="shared" si="6"/>
        <v>16</v>
      </c>
      <c r="F74">
        <v>400</v>
      </c>
      <c r="G74" t="b">
        <f t="shared" si="7"/>
        <v>0</v>
      </c>
      <c r="H74" t="str">
        <f t="shared" si="8"/>
        <v>TURN_109_110_227</v>
      </c>
      <c r="I74">
        <f t="shared" ca="1" si="9"/>
        <v>400</v>
      </c>
      <c r="J74">
        <f t="shared" ca="1" si="10"/>
        <v>400</v>
      </c>
      <c r="K74" t="str">
        <f t="shared" ca="1" si="11"/>
        <v>109,110,227,TURN_109_110_227,400</v>
      </c>
    </row>
    <row r="75" spans="1:11" x14ac:dyDescent="0.25">
      <c r="A75">
        <v>109</v>
      </c>
      <c r="B75">
        <v>110</v>
      </c>
      <c r="C75">
        <v>504</v>
      </c>
      <c r="D75">
        <v>0</v>
      </c>
      <c r="E75">
        <f t="shared" si="6"/>
        <v>16</v>
      </c>
      <c r="F75">
        <v>450</v>
      </c>
      <c r="G75" t="b">
        <f t="shared" si="7"/>
        <v>0</v>
      </c>
      <c r="H75" t="str">
        <f t="shared" si="8"/>
        <v>TURN_109_110_504</v>
      </c>
      <c r="I75">
        <f t="shared" ca="1" si="9"/>
        <v>450</v>
      </c>
      <c r="J75">
        <f t="shared" ca="1" si="10"/>
        <v>450</v>
      </c>
      <c r="K75" t="str">
        <f t="shared" ca="1" si="11"/>
        <v>109,110,504,TURN_109_110_504,450</v>
      </c>
    </row>
    <row r="76" spans="1:11" hidden="1" x14ac:dyDescent="0.25">
      <c r="A76">
        <v>109</v>
      </c>
      <c r="B76">
        <v>111</v>
      </c>
      <c r="C76">
        <v>112</v>
      </c>
      <c r="D76">
        <v>0</v>
      </c>
      <c r="E76" t="e">
        <f t="shared" si="6"/>
        <v>#N/A</v>
      </c>
      <c r="G76" t="b">
        <f t="shared" si="7"/>
        <v>0</v>
      </c>
      <c r="H76" t="str">
        <f t="shared" si="8"/>
        <v>TURN_109_111_112</v>
      </c>
      <c r="I76" t="e">
        <f t="shared" ca="1" si="9"/>
        <v>#REF!</v>
      </c>
      <c r="J76">
        <f t="shared" ca="1" si="10"/>
        <v>0</v>
      </c>
      <c r="K76" t="str">
        <f t="shared" ca="1" si="11"/>
        <v>109,111,112,TURN_109_111_112,0</v>
      </c>
    </row>
    <row r="77" spans="1:11" hidden="1" x14ac:dyDescent="0.25">
      <c r="A77">
        <v>104</v>
      </c>
      <c r="B77">
        <v>105</v>
      </c>
      <c r="C77">
        <v>106</v>
      </c>
      <c r="D77">
        <v>0</v>
      </c>
      <c r="E77" t="e">
        <f t="shared" si="6"/>
        <v>#N/A</v>
      </c>
      <c r="G77" t="b">
        <f t="shared" si="7"/>
        <v>0</v>
      </c>
      <c r="H77" t="str">
        <f t="shared" si="8"/>
        <v>TURN_104_105_106</v>
      </c>
      <c r="I77" t="e">
        <f t="shared" ca="1" si="9"/>
        <v>#REF!</v>
      </c>
      <c r="J77">
        <f t="shared" ca="1" si="10"/>
        <v>0</v>
      </c>
      <c r="K77" t="str">
        <f t="shared" ca="1" si="11"/>
        <v>104,105,106,TURN_104_105_106,0</v>
      </c>
    </row>
    <row r="78" spans="1:11" hidden="1" x14ac:dyDescent="0.25">
      <c r="A78">
        <v>104</v>
      </c>
      <c r="B78">
        <v>105</v>
      </c>
      <c r="C78">
        <v>108</v>
      </c>
      <c r="D78">
        <v>0</v>
      </c>
      <c r="E78" t="e">
        <f t="shared" si="6"/>
        <v>#N/A</v>
      </c>
      <c r="G78" t="b">
        <f t="shared" si="7"/>
        <v>0</v>
      </c>
      <c r="H78" t="str">
        <f t="shared" si="8"/>
        <v>TURN_104_105_108</v>
      </c>
      <c r="I78" t="e">
        <f t="shared" ca="1" si="9"/>
        <v>#REF!</v>
      </c>
      <c r="J78">
        <f t="shared" ca="1" si="10"/>
        <v>0</v>
      </c>
      <c r="K78" t="str">
        <f t="shared" ca="1" si="11"/>
        <v>104,105,108,TURN_104_105_108,0</v>
      </c>
    </row>
    <row r="79" spans="1:11" hidden="1" x14ac:dyDescent="0.25">
      <c r="A79">
        <v>100</v>
      </c>
      <c r="B79">
        <v>101</v>
      </c>
      <c r="C79">
        <v>102</v>
      </c>
      <c r="D79">
        <v>0</v>
      </c>
      <c r="E79" t="e">
        <f t="shared" si="6"/>
        <v>#N/A</v>
      </c>
      <c r="G79" t="b">
        <f t="shared" si="7"/>
        <v>0</v>
      </c>
      <c r="H79" t="str">
        <f t="shared" si="8"/>
        <v>TURN_100_101_102</v>
      </c>
      <c r="I79" t="e">
        <f t="shared" ca="1" si="9"/>
        <v>#REF!</v>
      </c>
      <c r="J79">
        <f t="shared" ca="1" si="10"/>
        <v>0</v>
      </c>
      <c r="K79" t="str">
        <f t="shared" ca="1" si="11"/>
        <v>100,101,102,TURN_100_101_102,0</v>
      </c>
    </row>
    <row r="80" spans="1:11" hidden="1" x14ac:dyDescent="0.25">
      <c r="A80">
        <v>100</v>
      </c>
      <c r="B80">
        <v>101</v>
      </c>
      <c r="C80">
        <v>104</v>
      </c>
      <c r="D80">
        <v>0</v>
      </c>
      <c r="E80" t="e">
        <f t="shared" si="6"/>
        <v>#N/A</v>
      </c>
      <c r="G80" t="b">
        <f t="shared" si="7"/>
        <v>0</v>
      </c>
      <c r="H80" t="str">
        <f t="shared" si="8"/>
        <v>TURN_100_101_104</v>
      </c>
      <c r="I80" t="e">
        <f t="shared" ca="1" si="9"/>
        <v>#REF!</v>
      </c>
      <c r="J80">
        <f t="shared" ca="1" si="10"/>
        <v>0</v>
      </c>
      <c r="K80" t="str">
        <f t="shared" ca="1" si="11"/>
        <v>100,101,104,TURN_100_101_104,0</v>
      </c>
    </row>
    <row r="81" spans="1:11" hidden="1" x14ac:dyDescent="0.25">
      <c r="A81">
        <v>101</v>
      </c>
      <c r="B81">
        <v>104</v>
      </c>
      <c r="C81">
        <v>105</v>
      </c>
      <c r="D81">
        <v>0</v>
      </c>
      <c r="E81" t="e">
        <f t="shared" si="6"/>
        <v>#N/A</v>
      </c>
      <c r="G81" t="b">
        <f t="shared" si="7"/>
        <v>0</v>
      </c>
      <c r="H81" t="str">
        <f t="shared" si="8"/>
        <v>TURN_101_104_105</v>
      </c>
      <c r="I81" t="e">
        <f t="shared" ca="1" si="9"/>
        <v>#REF!</v>
      </c>
      <c r="J81">
        <f t="shared" ca="1" si="10"/>
        <v>0</v>
      </c>
      <c r="K81" t="str">
        <f t="shared" ca="1" si="11"/>
        <v>101,104,105,TURN_101_104_105,0</v>
      </c>
    </row>
    <row r="82" spans="1:11" hidden="1" x14ac:dyDescent="0.25">
      <c r="A82">
        <v>309</v>
      </c>
      <c r="B82">
        <v>312</v>
      </c>
      <c r="C82">
        <v>313</v>
      </c>
      <c r="D82">
        <v>0</v>
      </c>
      <c r="E82" t="e">
        <f t="shared" si="6"/>
        <v>#N/A</v>
      </c>
      <c r="G82" t="b">
        <f t="shared" si="7"/>
        <v>0</v>
      </c>
      <c r="H82" t="str">
        <f t="shared" si="8"/>
        <v>TURN_309_312_313</v>
      </c>
      <c r="I82" t="e">
        <f t="shared" ca="1" si="9"/>
        <v>#REF!</v>
      </c>
      <c r="J82">
        <f t="shared" ca="1" si="10"/>
        <v>0</v>
      </c>
      <c r="K82" t="str">
        <f t="shared" ca="1" si="11"/>
        <v>309,312,313,TURN_309_312_313,0</v>
      </c>
    </row>
    <row r="83" spans="1:11" hidden="1" x14ac:dyDescent="0.25">
      <c r="A83">
        <v>405</v>
      </c>
      <c r="B83">
        <v>406</v>
      </c>
      <c r="C83">
        <v>407</v>
      </c>
      <c r="D83">
        <v>0</v>
      </c>
      <c r="E83" t="e">
        <f t="shared" si="6"/>
        <v>#N/A</v>
      </c>
      <c r="G83" t="b">
        <f t="shared" si="7"/>
        <v>0</v>
      </c>
      <c r="H83" t="str">
        <f t="shared" si="8"/>
        <v>TURN_405_406_407</v>
      </c>
      <c r="I83" t="e">
        <f t="shared" ca="1" si="9"/>
        <v>#REF!</v>
      </c>
      <c r="J83">
        <f t="shared" ca="1" si="10"/>
        <v>0</v>
      </c>
      <c r="K83" t="str">
        <f t="shared" ca="1" si="11"/>
        <v>405,406,407,TURN_405_406_407,0</v>
      </c>
    </row>
    <row r="84" spans="1:11" x14ac:dyDescent="0.25">
      <c r="A84">
        <v>405</v>
      </c>
      <c r="B84">
        <v>323</v>
      </c>
      <c r="C84">
        <v>324</v>
      </c>
      <c r="D84">
        <v>0</v>
      </c>
      <c r="E84">
        <f t="shared" si="6"/>
        <v>8</v>
      </c>
      <c r="G84" t="b">
        <f t="shared" si="7"/>
        <v>0</v>
      </c>
      <c r="H84" t="str">
        <f t="shared" si="8"/>
        <v>TURN_405_323_324</v>
      </c>
      <c r="I84">
        <f t="shared" ca="1" si="9"/>
        <v>300</v>
      </c>
      <c r="J84">
        <f t="shared" ca="1" si="10"/>
        <v>300</v>
      </c>
      <c r="K84" t="str">
        <f t="shared" ca="1" si="11"/>
        <v>405,323,324,TURN_405_323_324,300</v>
      </c>
    </row>
    <row r="85" spans="1:11" x14ac:dyDescent="0.25">
      <c r="A85">
        <v>405</v>
      </c>
      <c r="B85">
        <v>323</v>
      </c>
      <c r="C85">
        <v>405</v>
      </c>
      <c r="D85">
        <v>0</v>
      </c>
      <c r="E85">
        <f t="shared" si="6"/>
        <v>8</v>
      </c>
      <c r="F85">
        <v>0</v>
      </c>
      <c r="G85" t="b">
        <f t="shared" si="7"/>
        <v>1</v>
      </c>
      <c r="H85" t="str">
        <f t="shared" si="8"/>
        <v>TURN_405_323_405</v>
      </c>
      <c r="I85" t="e">
        <f t="shared" ca="1" si="9"/>
        <v>#REF!</v>
      </c>
      <c r="J85">
        <f t="shared" ca="1" si="10"/>
        <v>0</v>
      </c>
      <c r="K85" t="str">
        <f t="shared" ca="1" si="11"/>
        <v>405,323,405,TURN_405_323_405,0</v>
      </c>
    </row>
    <row r="86" spans="1:11" x14ac:dyDescent="0.25">
      <c r="A86">
        <v>405</v>
      </c>
      <c r="B86">
        <v>323</v>
      </c>
      <c r="C86">
        <v>510</v>
      </c>
      <c r="D86">
        <v>0</v>
      </c>
      <c r="E86">
        <f t="shared" si="6"/>
        <v>8</v>
      </c>
      <c r="G86" t="b">
        <f t="shared" si="7"/>
        <v>0</v>
      </c>
      <c r="H86" t="str">
        <f t="shared" si="8"/>
        <v>TURN_405_323_510</v>
      </c>
      <c r="I86">
        <f t="shared" ca="1" si="9"/>
        <v>500</v>
      </c>
      <c r="J86">
        <f t="shared" ca="1" si="10"/>
        <v>500</v>
      </c>
      <c r="K86" t="str">
        <f t="shared" ca="1" si="11"/>
        <v>405,323,510,TURN_405_323_510,500</v>
      </c>
    </row>
    <row r="87" spans="1:11" hidden="1" x14ac:dyDescent="0.25">
      <c r="A87">
        <v>307</v>
      </c>
      <c r="B87">
        <v>308</v>
      </c>
      <c r="C87">
        <v>309</v>
      </c>
      <c r="D87">
        <v>0</v>
      </c>
      <c r="E87" t="e">
        <f t="shared" si="6"/>
        <v>#N/A</v>
      </c>
      <c r="G87" t="b">
        <f t="shared" si="7"/>
        <v>0</v>
      </c>
      <c r="H87" t="str">
        <f t="shared" si="8"/>
        <v>TURN_307_308_309</v>
      </c>
      <c r="I87" t="e">
        <f t="shared" ca="1" si="9"/>
        <v>#REF!</v>
      </c>
      <c r="J87">
        <f t="shared" ca="1" si="10"/>
        <v>0</v>
      </c>
      <c r="K87" t="str">
        <f t="shared" ca="1" si="11"/>
        <v>307,308,309,TURN_307_308_309,0</v>
      </c>
    </row>
    <row r="88" spans="1:11" hidden="1" x14ac:dyDescent="0.25">
      <c r="A88">
        <v>311</v>
      </c>
      <c r="B88">
        <v>312</v>
      </c>
      <c r="C88">
        <v>313</v>
      </c>
      <c r="D88">
        <v>0</v>
      </c>
      <c r="E88" t="e">
        <f t="shared" si="6"/>
        <v>#N/A</v>
      </c>
      <c r="G88" t="b">
        <f t="shared" si="7"/>
        <v>0</v>
      </c>
      <c r="H88" t="str">
        <f t="shared" si="8"/>
        <v>TURN_311_312_313</v>
      </c>
      <c r="I88" t="e">
        <f t="shared" ca="1" si="9"/>
        <v>#REF!</v>
      </c>
      <c r="J88">
        <f t="shared" ca="1" si="10"/>
        <v>0</v>
      </c>
      <c r="K88" t="str">
        <f t="shared" ca="1" si="11"/>
        <v>311,312,313,TURN_311_312_313,0</v>
      </c>
    </row>
    <row r="89" spans="1:11" hidden="1" x14ac:dyDescent="0.25">
      <c r="A89">
        <v>312</v>
      </c>
      <c r="B89">
        <v>313</v>
      </c>
      <c r="C89">
        <v>314</v>
      </c>
      <c r="D89">
        <v>0</v>
      </c>
      <c r="E89" t="e">
        <f t="shared" si="6"/>
        <v>#N/A</v>
      </c>
      <c r="G89" t="b">
        <f t="shared" si="7"/>
        <v>0</v>
      </c>
      <c r="H89" t="str">
        <f t="shared" si="8"/>
        <v>TURN_312_313_314</v>
      </c>
      <c r="I89" t="e">
        <f t="shared" ca="1" si="9"/>
        <v>#REF!</v>
      </c>
      <c r="J89">
        <f t="shared" ca="1" si="10"/>
        <v>0</v>
      </c>
      <c r="K89" t="str">
        <f t="shared" ca="1" si="11"/>
        <v>312,313,314,TURN_312_313_314,0</v>
      </c>
    </row>
    <row r="90" spans="1:11" hidden="1" x14ac:dyDescent="0.25">
      <c r="A90">
        <v>312</v>
      </c>
      <c r="B90">
        <v>313</v>
      </c>
      <c r="C90">
        <v>318</v>
      </c>
      <c r="D90">
        <v>0</v>
      </c>
      <c r="E90" t="e">
        <f t="shared" si="6"/>
        <v>#N/A</v>
      </c>
      <c r="G90" t="b">
        <f t="shared" si="7"/>
        <v>0</v>
      </c>
      <c r="H90" t="str">
        <f t="shared" si="8"/>
        <v>TURN_312_313_318</v>
      </c>
      <c r="I90" t="e">
        <f t="shared" ca="1" si="9"/>
        <v>#REF!</v>
      </c>
      <c r="J90">
        <f t="shared" ca="1" si="10"/>
        <v>0</v>
      </c>
      <c r="K90" t="str">
        <f t="shared" ca="1" si="11"/>
        <v>312,313,318,TURN_312_313_318,0</v>
      </c>
    </row>
    <row r="91" spans="1:11" hidden="1" x14ac:dyDescent="0.25">
      <c r="A91">
        <v>401</v>
      </c>
      <c r="B91">
        <v>403</v>
      </c>
      <c r="C91">
        <v>404</v>
      </c>
      <c r="D91">
        <v>0</v>
      </c>
      <c r="E91" t="e">
        <f t="shared" si="6"/>
        <v>#N/A</v>
      </c>
      <c r="G91" t="b">
        <f t="shared" si="7"/>
        <v>0</v>
      </c>
      <c r="H91" t="str">
        <f t="shared" si="8"/>
        <v>TURN_401_403_404</v>
      </c>
      <c r="I91" t="e">
        <f t="shared" ca="1" si="9"/>
        <v>#REF!</v>
      </c>
      <c r="J91">
        <f t="shared" ca="1" si="10"/>
        <v>0</v>
      </c>
      <c r="K91" t="str">
        <f t="shared" ca="1" si="11"/>
        <v>401,403,404,TURN_401_403_404,0</v>
      </c>
    </row>
    <row r="92" spans="1:11" x14ac:dyDescent="0.25">
      <c r="A92">
        <v>401</v>
      </c>
      <c r="B92">
        <v>402</v>
      </c>
      <c r="C92">
        <v>403</v>
      </c>
      <c r="D92">
        <v>0</v>
      </c>
      <c r="E92">
        <f t="shared" si="6"/>
        <v>12</v>
      </c>
      <c r="G92" t="b">
        <f t="shared" si="7"/>
        <v>0</v>
      </c>
      <c r="H92" t="str">
        <f t="shared" si="8"/>
        <v>TURN_401_402_403</v>
      </c>
      <c r="I92" t="e">
        <f t="shared" ca="1" si="9"/>
        <v>#REF!</v>
      </c>
      <c r="J92">
        <f t="shared" ca="1" si="10"/>
        <v>0</v>
      </c>
      <c r="K92" t="str">
        <f t="shared" ca="1" si="11"/>
        <v>401,402,403,TURN_401_402_403,0</v>
      </c>
    </row>
    <row r="93" spans="1:11" x14ac:dyDescent="0.25">
      <c r="A93">
        <v>401</v>
      </c>
      <c r="B93">
        <v>402</v>
      </c>
      <c r="C93">
        <v>326</v>
      </c>
      <c r="D93">
        <v>0</v>
      </c>
      <c r="E93">
        <f t="shared" si="6"/>
        <v>12</v>
      </c>
      <c r="G93" t="b">
        <f t="shared" si="7"/>
        <v>0</v>
      </c>
      <c r="H93" t="str">
        <f t="shared" si="8"/>
        <v>TURN_401_402_326</v>
      </c>
      <c r="I93">
        <f t="shared" ca="1" si="9"/>
        <v>500</v>
      </c>
      <c r="J93">
        <f t="shared" ca="1" si="10"/>
        <v>500</v>
      </c>
      <c r="K93" t="str">
        <f t="shared" ca="1" si="11"/>
        <v>401,402,326,TURN_401_402_326,500</v>
      </c>
    </row>
    <row r="94" spans="1:11" x14ac:dyDescent="0.25">
      <c r="A94">
        <v>401</v>
      </c>
      <c r="B94">
        <v>402</v>
      </c>
      <c r="C94">
        <v>515</v>
      </c>
      <c r="D94">
        <v>0</v>
      </c>
      <c r="E94">
        <f t="shared" si="6"/>
        <v>12</v>
      </c>
      <c r="G94" t="b">
        <f t="shared" si="7"/>
        <v>0</v>
      </c>
      <c r="H94" t="str">
        <f t="shared" si="8"/>
        <v>TURN_401_402_515</v>
      </c>
      <c r="I94">
        <f t="shared" ca="1" si="9"/>
        <v>200</v>
      </c>
      <c r="J94">
        <f t="shared" ca="1" si="10"/>
        <v>200</v>
      </c>
      <c r="K94" t="str">
        <f t="shared" ca="1" si="11"/>
        <v>401,402,515,TURN_401_402_515,200</v>
      </c>
    </row>
    <row r="95" spans="1:11" hidden="1" x14ac:dyDescent="0.25">
      <c r="A95">
        <v>203</v>
      </c>
      <c r="B95">
        <v>204</v>
      </c>
      <c r="C95">
        <v>205</v>
      </c>
      <c r="D95">
        <v>0</v>
      </c>
      <c r="E95" t="e">
        <f t="shared" si="6"/>
        <v>#N/A</v>
      </c>
      <c r="G95" t="b">
        <f t="shared" si="7"/>
        <v>0</v>
      </c>
      <c r="H95" t="str">
        <f t="shared" si="8"/>
        <v>TURN_203_204_205</v>
      </c>
      <c r="I95" t="e">
        <f t="shared" ca="1" si="9"/>
        <v>#REF!</v>
      </c>
      <c r="J95">
        <f t="shared" ca="1" si="10"/>
        <v>0</v>
      </c>
      <c r="K95" t="str">
        <f t="shared" ca="1" si="11"/>
        <v>203,204,205,TURN_203_204_205,0</v>
      </c>
    </row>
    <row r="96" spans="1:11" hidden="1" x14ac:dyDescent="0.25">
      <c r="A96">
        <v>404</v>
      </c>
      <c r="B96">
        <v>406</v>
      </c>
      <c r="C96">
        <v>407</v>
      </c>
      <c r="D96">
        <v>0</v>
      </c>
      <c r="E96" t="e">
        <f t="shared" si="6"/>
        <v>#N/A</v>
      </c>
      <c r="G96" t="b">
        <f t="shared" si="7"/>
        <v>0</v>
      </c>
      <c r="H96" t="str">
        <f t="shared" si="8"/>
        <v>TURN_404_406_407</v>
      </c>
      <c r="I96" t="e">
        <f t="shared" ca="1" si="9"/>
        <v>#REF!</v>
      </c>
      <c r="J96">
        <f t="shared" ca="1" si="10"/>
        <v>0</v>
      </c>
      <c r="K96" t="str">
        <f t="shared" ca="1" si="11"/>
        <v>404,406,407,TURN_404_406_407,0</v>
      </c>
    </row>
    <row r="97" spans="1:11" x14ac:dyDescent="0.25">
      <c r="A97">
        <v>404</v>
      </c>
      <c r="B97">
        <v>405</v>
      </c>
      <c r="C97">
        <v>406</v>
      </c>
      <c r="D97">
        <v>0</v>
      </c>
      <c r="E97">
        <f t="shared" si="6"/>
        <v>11</v>
      </c>
      <c r="G97" t="b">
        <f t="shared" si="7"/>
        <v>0</v>
      </c>
      <c r="H97" t="str">
        <f t="shared" si="8"/>
        <v>TURN_404_405_406</v>
      </c>
      <c r="I97" t="e">
        <f t="shared" ca="1" si="9"/>
        <v>#REF!</v>
      </c>
      <c r="J97">
        <f t="shared" ca="1" si="10"/>
        <v>0</v>
      </c>
      <c r="K97" t="str">
        <f t="shared" ca="1" si="11"/>
        <v>404,405,406,TURN_404_405_406,0</v>
      </c>
    </row>
    <row r="98" spans="1:11" x14ac:dyDescent="0.25">
      <c r="A98">
        <v>404</v>
      </c>
      <c r="B98">
        <v>405</v>
      </c>
      <c r="C98">
        <v>323</v>
      </c>
      <c r="D98">
        <v>0</v>
      </c>
      <c r="E98">
        <f t="shared" si="6"/>
        <v>11</v>
      </c>
      <c r="G98" t="b">
        <f t="shared" si="7"/>
        <v>0</v>
      </c>
      <c r="H98" t="str">
        <f t="shared" si="8"/>
        <v>TURN_404_405_323</v>
      </c>
      <c r="I98">
        <f t="shared" ca="1" si="9"/>
        <v>200</v>
      </c>
      <c r="J98">
        <f t="shared" ca="1" si="10"/>
        <v>200</v>
      </c>
      <c r="K98" t="str">
        <f t="shared" ca="1" si="11"/>
        <v>404,405,323,TURN_404_405_323,200</v>
      </c>
    </row>
    <row r="99" spans="1:11" x14ac:dyDescent="0.25">
      <c r="A99">
        <v>404</v>
      </c>
      <c r="B99">
        <v>405</v>
      </c>
      <c r="C99">
        <v>514</v>
      </c>
      <c r="D99">
        <v>0</v>
      </c>
      <c r="E99">
        <f t="shared" si="6"/>
        <v>11</v>
      </c>
      <c r="G99" t="b">
        <f t="shared" si="7"/>
        <v>0</v>
      </c>
      <c r="H99" t="str">
        <f t="shared" si="8"/>
        <v>TURN_404_405_514</v>
      </c>
      <c r="I99">
        <f t="shared" ca="1" si="9"/>
        <v>50</v>
      </c>
      <c r="J99">
        <f t="shared" ca="1" si="10"/>
        <v>50</v>
      </c>
      <c r="K99" t="str">
        <f t="shared" ca="1" si="11"/>
        <v>404,405,514,TURN_404_405_514,50</v>
      </c>
    </row>
    <row r="100" spans="1:11" hidden="1" x14ac:dyDescent="0.25">
      <c r="A100">
        <v>403</v>
      </c>
      <c r="B100">
        <v>404</v>
      </c>
      <c r="C100">
        <v>406</v>
      </c>
      <c r="D100">
        <v>0</v>
      </c>
      <c r="E100" t="e">
        <f t="shared" si="6"/>
        <v>#N/A</v>
      </c>
      <c r="G100" t="b">
        <f t="shared" si="7"/>
        <v>0</v>
      </c>
      <c r="H100" t="str">
        <f t="shared" si="8"/>
        <v>TURN_403_404_406</v>
      </c>
      <c r="I100" t="e">
        <f t="shared" ca="1" si="9"/>
        <v>#REF!</v>
      </c>
      <c r="J100">
        <f t="shared" ca="1" si="10"/>
        <v>0</v>
      </c>
      <c r="K100" t="str">
        <f t="shared" ca="1" si="11"/>
        <v>403,404,406,TURN_403_404_406,0</v>
      </c>
    </row>
    <row r="101" spans="1:11" hidden="1" x14ac:dyDescent="0.25">
      <c r="A101">
        <v>403</v>
      </c>
      <c r="B101">
        <v>404</v>
      </c>
      <c r="C101">
        <v>405</v>
      </c>
      <c r="D101">
        <v>0</v>
      </c>
      <c r="E101" t="e">
        <f t="shared" si="6"/>
        <v>#N/A</v>
      </c>
      <c r="G101" t="b">
        <f t="shared" si="7"/>
        <v>0</v>
      </c>
      <c r="H101" t="str">
        <f t="shared" si="8"/>
        <v>TURN_403_404_405</v>
      </c>
      <c r="I101" t="e">
        <f t="shared" ca="1" si="9"/>
        <v>#REF!</v>
      </c>
      <c r="J101">
        <f t="shared" ca="1" si="10"/>
        <v>0</v>
      </c>
      <c r="K101" t="str">
        <f t="shared" ca="1" si="11"/>
        <v>403,404,405,TURN_403_404_405,0</v>
      </c>
    </row>
    <row r="102" spans="1:11" hidden="1" x14ac:dyDescent="0.25">
      <c r="A102">
        <v>215</v>
      </c>
      <c r="B102">
        <v>216</v>
      </c>
      <c r="C102">
        <v>217</v>
      </c>
      <c r="D102">
        <v>0</v>
      </c>
      <c r="E102" t="e">
        <f t="shared" si="6"/>
        <v>#N/A</v>
      </c>
      <c r="G102" t="b">
        <f t="shared" si="7"/>
        <v>0</v>
      </c>
      <c r="H102" t="str">
        <f t="shared" si="8"/>
        <v>TURN_215_216_217</v>
      </c>
      <c r="I102" t="e">
        <f t="shared" ca="1" si="9"/>
        <v>#REF!</v>
      </c>
      <c r="J102">
        <f t="shared" ca="1" si="10"/>
        <v>0</v>
      </c>
      <c r="K102" t="str">
        <f t="shared" ca="1" si="11"/>
        <v>215,216,217,TURN_215_216_217,0</v>
      </c>
    </row>
    <row r="103" spans="1:11" hidden="1" x14ac:dyDescent="0.25">
      <c r="A103">
        <v>116</v>
      </c>
      <c r="B103">
        <v>317</v>
      </c>
      <c r="C103">
        <v>318</v>
      </c>
      <c r="D103">
        <v>0</v>
      </c>
      <c r="E103" t="e">
        <f t="shared" si="6"/>
        <v>#N/A</v>
      </c>
      <c r="G103" t="b">
        <f t="shared" si="7"/>
        <v>0</v>
      </c>
      <c r="H103" t="str">
        <f t="shared" si="8"/>
        <v>TURN_116_317_318</v>
      </c>
      <c r="I103" t="e">
        <f t="shared" ca="1" si="9"/>
        <v>#REF!</v>
      </c>
      <c r="J103">
        <f t="shared" ca="1" si="10"/>
        <v>0</v>
      </c>
      <c r="K103" t="str">
        <f t="shared" ca="1" si="11"/>
        <v>116,317,318,TURN_116_317_318,0</v>
      </c>
    </row>
    <row r="104" spans="1:11" hidden="1" x14ac:dyDescent="0.25">
      <c r="A104">
        <v>116</v>
      </c>
      <c r="B104">
        <v>117</v>
      </c>
      <c r="C104">
        <v>413</v>
      </c>
      <c r="D104">
        <v>0</v>
      </c>
      <c r="E104" t="e">
        <f t="shared" si="6"/>
        <v>#N/A</v>
      </c>
      <c r="G104" t="b">
        <f t="shared" si="7"/>
        <v>0</v>
      </c>
      <c r="H104" t="str">
        <f t="shared" si="8"/>
        <v>TURN_116_117_413</v>
      </c>
      <c r="I104" t="e">
        <f t="shared" ca="1" si="9"/>
        <v>#REF!</v>
      </c>
      <c r="J104">
        <f t="shared" ca="1" si="10"/>
        <v>0</v>
      </c>
      <c r="K104" t="str">
        <f t="shared" ca="1" si="11"/>
        <v>116,117,413,TURN_116_117_413,0</v>
      </c>
    </row>
    <row r="105" spans="1:11" hidden="1" x14ac:dyDescent="0.25">
      <c r="A105">
        <v>116</v>
      </c>
      <c r="B105">
        <v>117</v>
      </c>
      <c r="C105">
        <v>118</v>
      </c>
      <c r="D105">
        <v>0</v>
      </c>
      <c r="E105" t="e">
        <f t="shared" si="6"/>
        <v>#N/A</v>
      </c>
      <c r="G105" t="b">
        <f t="shared" si="7"/>
        <v>0</v>
      </c>
      <c r="H105" t="str">
        <f t="shared" si="8"/>
        <v>TURN_116_117_118</v>
      </c>
      <c r="I105" t="e">
        <f t="shared" ca="1" si="9"/>
        <v>#REF!</v>
      </c>
      <c r="J105">
        <f t="shared" ca="1" si="10"/>
        <v>0</v>
      </c>
      <c r="K105" t="str">
        <f t="shared" ca="1" si="11"/>
        <v>116,117,118,TURN_116_117_118,0</v>
      </c>
    </row>
    <row r="106" spans="1:11" hidden="1" x14ac:dyDescent="0.25">
      <c r="A106">
        <v>207</v>
      </c>
      <c r="B106">
        <v>208</v>
      </c>
      <c r="C106">
        <v>209</v>
      </c>
      <c r="D106">
        <v>0</v>
      </c>
      <c r="E106" t="e">
        <f t="shared" si="6"/>
        <v>#N/A</v>
      </c>
      <c r="G106" t="b">
        <f t="shared" si="7"/>
        <v>0</v>
      </c>
      <c r="H106" t="str">
        <f t="shared" si="8"/>
        <v>TURN_207_208_209</v>
      </c>
      <c r="I106" t="e">
        <f t="shared" ca="1" si="9"/>
        <v>#REF!</v>
      </c>
      <c r="J106">
        <f t="shared" ca="1" si="10"/>
        <v>0</v>
      </c>
      <c r="K106" t="str">
        <f t="shared" ca="1" si="11"/>
        <v>207,208,209,TURN_207_208_209,0</v>
      </c>
    </row>
    <row r="107" spans="1:11" hidden="1" x14ac:dyDescent="0.25">
      <c r="A107">
        <v>211</v>
      </c>
      <c r="B107">
        <v>212</v>
      </c>
      <c r="C107">
        <v>213</v>
      </c>
      <c r="D107">
        <v>0</v>
      </c>
      <c r="E107" t="e">
        <f t="shared" si="6"/>
        <v>#N/A</v>
      </c>
      <c r="G107" t="b">
        <f t="shared" si="7"/>
        <v>0</v>
      </c>
      <c r="H107" t="str">
        <f t="shared" si="8"/>
        <v>TURN_211_212_213</v>
      </c>
      <c r="I107" t="e">
        <f t="shared" ca="1" si="9"/>
        <v>#REF!</v>
      </c>
      <c r="J107">
        <f t="shared" ca="1" si="10"/>
        <v>0</v>
      </c>
      <c r="K107" t="str">
        <f t="shared" ca="1" si="11"/>
        <v>211,212,213,TURN_211_212_213,0</v>
      </c>
    </row>
    <row r="108" spans="1:11" hidden="1" x14ac:dyDescent="0.25">
      <c r="A108">
        <v>225</v>
      </c>
      <c r="B108">
        <v>226</v>
      </c>
      <c r="C108">
        <v>227</v>
      </c>
      <c r="D108">
        <v>0</v>
      </c>
      <c r="E108" t="e">
        <f t="shared" si="6"/>
        <v>#N/A</v>
      </c>
      <c r="G108" t="b">
        <f t="shared" si="7"/>
        <v>0</v>
      </c>
      <c r="H108" t="str">
        <f t="shared" si="8"/>
        <v>TURN_225_226_227</v>
      </c>
      <c r="I108" t="e">
        <f t="shared" ca="1" si="9"/>
        <v>#REF!</v>
      </c>
      <c r="J108">
        <f t="shared" ca="1" si="10"/>
        <v>0</v>
      </c>
      <c r="K108" t="str">
        <f t="shared" ca="1" si="11"/>
        <v>225,226,227,TURN_225_226_227,0</v>
      </c>
    </row>
    <row r="109" spans="1:11" hidden="1" x14ac:dyDescent="0.25">
      <c r="A109">
        <v>225</v>
      </c>
      <c r="B109">
        <v>226</v>
      </c>
      <c r="C109">
        <v>228</v>
      </c>
      <c r="D109">
        <v>0</v>
      </c>
      <c r="E109" t="e">
        <f t="shared" si="6"/>
        <v>#N/A</v>
      </c>
      <c r="G109" t="b">
        <f t="shared" si="7"/>
        <v>0</v>
      </c>
      <c r="H109" t="str">
        <f t="shared" si="8"/>
        <v>TURN_225_226_228</v>
      </c>
      <c r="I109" t="e">
        <f t="shared" ca="1" si="9"/>
        <v>#REF!</v>
      </c>
      <c r="J109">
        <f t="shared" ca="1" si="10"/>
        <v>0</v>
      </c>
      <c r="K109" t="str">
        <f t="shared" ca="1" si="11"/>
        <v>225,226,228,TURN_225_226_228,0</v>
      </c>
    </row>
    <row r="110" spans="1:11" hidden="1" x14ac:dyDescent="0.25">
      <c r="A110">
        <v>228</v>
      </c>
      <c r="B110">
        <v>229</v>
      </c>
      <c r="C110">
        <v>230</v>
      </c>
      <c r="D110">
        <v>0</v>
      </c>
      <c r="E110" t="e">
        <f t="shared" si="6"/>
        <v>#N/A</v>
      </c>
      <c r="G110" t="b">
        <f t="shared" si="7"/>
        <v>0</v>
      </c>
      <c r="H110" t="str">
        <f t="shared" si="8"/>
        <v>TURN_228_229_230</v>
      </c>
      <c r="I110" t="e">
        <f t="shared" ca="1" si="9"/>
        <v>#REF!</v>
      </c>
      <c r="J110">
        <f t="shared" ca="1" si="10"/>
        <v>0</v>
      </c>
      <c r="K110" t="str">
        <f t="shared" ca="1" si="11"/>
        <v>228,229,230,TURN_228_229_230,0</v>
      </c>
    </row>
    <row r="111" spans="1:11" hidden="1" x14ac:dyDescent="0.25">
      <c r="A111">
        <v>228</v>
      </c>
      <c r="B111">
        <v>229</v>
      </c>
      <c r="C111">
        <v>232</v>
      </c>
      <c r="D111">
        <v>0</v>
      </c>
      <c r="E111" t="e">
        <f t="shared" si="6"/>
        <v>#N/A</v>
      </c>
      <c r="G111" t="b">
        <f t="shared" si="7"/>
        <v>0</v>
      </c>
      <c r="H111" t="str">
        <f t="shared" si="8"/>
        <v>TURN_228_229_232</v>
      </c>
      <c r="I111" t="e">
        <f t="shared" ca="1" si="9"/>
        <v>#REF!</v>
      </c>
      <c r="J111">
        <f t="shared" ca="1" si="10"/>
        <v>0</v>
      </c>
      <c r="K111" t="str">
        <f t="shared" ca="1" si="11"/>
        <v>228,229,232,TURN_228_229_232,0</v>
      </c>
    </row>
    <row r="112" spans="1:11" x14ac:dyDescent="0.25">
      <c r="A112">
        <v>226</v>
      </c>
      <c r="B112">
        <v>227</v>
      </c>
      <c r="C112">
        <v>228</v>
      </c>
      <c r="D112">
        <v>0</v>
      </c>
      <c r="E112">
        <f t="shared" si="6"/>
        <v>15</v>
      </c>
      <c r="F112">
        <v>0</v>
      </c>
      <c r="G112" t="b">
        <f t="shared" si="7"/>
        <v>0</v>
      </c>
      <c r="H112" t="str">
        <f t="shared" si="8"/>
        <v>TURN_226_227_228</v>
      </c>
      <c r="I112" t="e">
        <f t="shared" ca="1" si="9"/>
        <v>#REF!</v>
      </c>
      <c r="J112">
        <f t="shared" ca="1" si="10"/>
        <v>0</v>
      </c>
      <c r="K112" t="str">
        <f t="shared" ca="1" si="11"/>
        <v>226,227,228,TURN_226_227_228,0</v>
      </c>
    </row>
    <row r="113" spans="1:11" x14ac:dyDescent="0.25">
      <c r="A113">
        <v>226</v>
      </c>
      <c r="B113">
        <v>227</v>
      </c>
      <c r="C113">
        <v>110</v>
      </c>
      <c r="D113">
        <v>0</v>
      </c>
      <c r="E113">
        <f t="shared" si="6"/>
        <v>15</v>
      </c>
      <c r="F113">
        <v>200</v>
      </c>
      <c r="G113" t="b">
        <f t="shared" si="7"/>
        <v>0</v>
      </c>
      <c r="H113" t="str">
        <f t="shared" si="8"/>
        <v>TURN_226_227_110</v>
      </c>
      <c r="I113">
        <f t="shared" ca="1" si="9"/>
        <v>100</v>
      </c>
      <c r="J113">
        <f t="shared" ca="1" si="10"/>
        <v>100</v>
      </c>
      <c r="K113" t="str">
        <f t="shared" ca="1" si="11"/>
        <v>226,227,110,TURN_226_227_110,100</v>
      </c>
    </row>
    <row r="114" spans="1:11" x14ac:dyDescent="0.25">
      <c r="A114">
        <v>226</v>
      </c>
      <c r="B114">
        <v>227</v>
      </c>
      <c r="C114">
        <v>503</v>
      </c>
      <c r="D114">
        <v>0</v>
      </c>
      <c r="E114">
        <f t="shared" si="6"/>
        <v>15</v>
      </c>
      <c r="F114">
        <v>50</v>
      </c>
      <c r="G114" t="b">
        <f t="shared" si="7"/>
        <v>0</v>
      </c>
      <c r="H114" t="str">
        <f t="shared" si="8"/>
        <v>TURN_226_227_503</v>
      </c>
      <c r="I114">
        <f t="shared" ca="1" si="9"/>
        <v>50</v>
      </c>
      <c r="J114">
        <f t="shared" ca="1" si="10"/>
        <v>50</v>
      </c>
      <c r="K114" t="str">
        <f t="shared" ca="1" si="11"/>
        <v>226,227,503,TURN_226_227_503,50</v>
      </c>
    </row>
    <row r="115" spans="1:11" hidden="1" x14ac:dyDescent="0.25">
      <c r="A115">
        <v>226</v>
      </c>
      <c r="B115">
        <v>228</v>
      </c>
      <c r="C115">
        <v>229</v>
      </c>
      <c r="D115">
        <v>0</v>
      </c>
      <c r="E115" t="e">
        <f t="shared" si="6"/>
        <v>#N/A</v>
      </c>
      <c r="G115" t="b">
        <f t="shared" si="7"/>
        <v>0</v>
      </c>
      <c r="H115" t="str">
        <f t="shared" si="8"/>
        <v>TURN_226_228_229</v>
      </c>
      <c r="I115" t="e">
        <f t="shared" ca="1" si="9"/>
        <v>#REF!</v>
      </c>
      <c r="J115">
        <f t="shared" ca="1" si="10"/>
        <v>0</v>
      </c>
      <c r="K115" t="str">
        <f t="shared" ca="1" si="11"/>
        <v>226,228,229,TURN_226_228_229,0</v>
      </c>
    </row>
    <row r="116" spans="1:11" hidden="1" x14ac:dyDescent="0.25">
      <c r="A116">
        <v>227</v>
      </c>
      <c r="B116">
        <v>228</v>
      </c>
      <c r="C116">
        <v>229</v>
      </c>
      <c r="D116">
        <v>0</v>
      </c>
      <c r="E116" t="e">
        <f t="shared" si="6"/>
        <v>#N/A</v>
      </c>
      <c r="G116" t="b">
        <f t="shared" si="7"/>
        <v>0</v>
      </c>
      <c r="H116" t="str">
        <f t="shared" si="8"/>
        <v>TURN_227_228_229</v>
      </c>
      <c r="I116" t="e">
        <f t="shared" ca="1" si="9"/>
        <v>#REF!</v>
      </c>
      <c r="J116">
        <f t="shared" ca="1" si="10"/>
        <v>0</v>
      </c>
      <c r="K116" t="str">
        <f t="shared" ca="1" si="11"/>
        <v>227,228,229,TURN_227_228_229,0</v>
      </c>
    </row>
    <row r="117" spans="1:11" x14ac:dyDescent="0.25">
      <c r="A117">
        <v>227</v>
      </c>
      <c r="B117">
        <v>110</v>
      </c>
      <c r="C117">
        <v>111</v>
      </c>
      <c r="D117">
        <v>0</v>
      </c>
      <c r="E117">
        <f t="shared" si="6"/>
        <v>16</v>
      </c>
      <c r="F117">
        <v>200</v>
      </c>
      <c r="G117" t="b">
        <f t="shared" si="7"/>
        <v>0</v>
      </c>
      <c r="H117" t="str">
        <f t="shared" si="8"/>
        <v>TURN_227_110_111</v>
      </c>
      <c r="I117">
        <f t="shared" ca="1" si="9"/>
        <v>300</v>
      </c>
      <c r="J117">
        <f t="shared" ca="1" si="10"/>
        <v>300</v>
      </c>
      <c r="K117" t="str">
        <f t="shared" ca="1" si="11"/>
        <v>227,110,111,TURN_227_110_111,300</v>
      </c>
    </row>
    <row r="118" spans="1:11" x14ac:dyDescent="0.25">
      <c r="A118">
        <v>227</v>
      </c>
      <c r="B118">
        <v>110</v>
      </c>
      <c r="C118">
        <v>227</v>
      </c>
      <c r="D118">
        <v>0</v>
      </c>
      <c r="E118">
        <f t="shared" si="6"/>
        <v>16</v>
      </c>
      <c r="F118">
        <v>0</v>
      </c>
      <c r="G118" t="b">
        <f t="shared" si="7"/>
        <v>1</v>
      </c>
      <c r="H118" t="str">
        <f t="shared" si="8"/>
        <v>TURN_227_110_227</v>
      </c>
      <c r="I118" t="e">
        <f t="shared" ca="1" si="9"/>
        <v>#REF!</v>
      </c>
      <c r="J118">
        <f t="shared" ca="1" si="10"/>
        <v>0</v>
      </c>
      <c r="K118" t="str">
        <f t="shared" ca="1" si="11"/>
        <v>227,110,227,TURN_227_110_227,0</v>
      </c>
    </row>
    <row r="119" spans="1:11" x14ac:dyDescent="0.25">
      <c r="A119">
        <v>227</v>
      </c>
      <c r="B119">
        <v>110</v>
      </c>
      <c r="C119">
        <v>504</v>
      </c>
      <c r="D119">
        <v>0</v>
      </c>
      <c r="E119">
        <f t="shared" si="6"/>
        <v>16</v>
      </c>
      <c r="G119" t="b">
        <f t="shared" si="7"/>
        <v>0</v>
      </c>
      <c r="H119" t="str">
        <f t="shared" si="8"/>
        <v>TURN_227_110_504</v>
      </c>
      <c r="I119">
        <f t="shared" ca="1" si="9"/>
        <v>650</v>
      </c>
      <c r="J119">
        <f t="shared" ca="1" si="10"/>
        <v>650</v>
      </c>
      <c r="K119" t="str">
        <f t="shared" ca="1" si="11"/>
        <v>227,110,504,TURN_227_110_504,650</v>
      </c>
    </row>
    <row r="120" spans="1:11" hidden="1" x14ac:dyDescent="0.25">
      <c r="A120">
        <v>235</v>
      </c>
      <c r="B120">
        <v>236</v>
      </c>
      <c r="C120">
        <v>237</v>
      </c>
      <c r="D120">
        <v>0</v>
      </c>
      <c r="E120" t="e">
        <f t="shared" si="6"/>
        <v>#N/A</v>
      </c>
      <c r="G120" t="b">
        <f t="shared" si="7"/>
        <v>0</v>
      </c>
      <c r="H120" t="str">
        <f t="shared" si="8"/>
        <v>TURN_235_236_237</v>
      </c>
      <c r="I120" t="e">
        <f t="shared" ca="1" si="9"/>
        <v>#REF!</v>
      </c>
      <c r="J120">
        <f t="shared" ca="1" si="10"/>
        <v>0</v>
      </c>
      <c r="K120" t="str">
        <f t="shared" ca="1" si="11"/>
        <v>235,236,237,TURN_235_236_237,0</v>
      </c>
    </row>
    <row r="121" spans="1:11" hidden="1" x14ac:dyDescent="0.25">
      <c r="A121">
        <v>233</v>
      </c>
      <c r="B121">
        <v>236</v>
      </c>
      <c r="C121">
        <v>237</v>
      </c>
      <c r="D121">
        <v>0</v>
      </c>
      <c r="E121" t="e">
        <f t="shared" si="6"/>
        <v>#N/A</v>
      </c>
      <c r="G121" t="b">
        <f t="shared" si="7"/>
        <v>0</v>
      </c>
      <c r="H121" t="str">
        <f t="shared" si="8"/>
        <v>TURN_233_236_237</v>
      </c>
      <c r="I121" t="e">
        <f t="shared" ca="1" si="9"/>
        <v>#REF!</v>
      </c>
      <c r="J121">
        <f t="shared" ca="1" si="10"/>
        <v>0</v>
      </c>
      <c r="K121" t="str">
        <f t="shared" ca="1" si="11"/>
        <v>233,236,237,TURN_233_236_237,0</v>
      </c>
    </row>
    <row r="122" spans="1:11" hidden="1" x14ac:dyDescent="0.25">
      <c r="A122">
        <v>231</v>
      </c>
      <c r="B122">
        <v>232</v>
      </c>
      <c r="C122">
        <v>233</v>
      </c>
      <c r="D122">
        <v>0</v>
      </c>
      <c r="E122" t="e">
        <f t="shared" si="6"/>
        <v>#N/A</v>
      </c>
      <c r="G122" t="b">
        <f t="shared" si="7"/>
        <v>0</v>
      </c>
      <c r="H122" t="str">
        <f t="shared" si="8"/>
        <v>TURN_231_232_233</v>
      </c>
      <c r="I122" t="e">
        <f t="shared" ca="1" si="9"/>
        <v>#REF!</v>
      </c>
      <c r="J122">
        <f t="shared" ca="1" si="10"/>
        <v>0</v>
      </c>
      <c r="K122" t="str">
        <f t="shared" ca="1" si="11"/>
        <v>231,232,233,TURN_231_232_233,0</v>
      </c>
    </row>
    <row r="123" spans="1:11" hidden="1" x14ac:dyDescent="0.25">
      <c r="A123">
        <v>229</v>
      </c>
      <c r="B123">
        <v>232</v>
      </c>
      <c r="C123">
        <v>233</v>
      </c>
      <c r="D123">
        <v>0</v>
      </c>
      <c r="E123" t="e">
        <f t="shared" si="6"/>
        <v>#N/A</v>
      </c>
      <c r="G123" t="b">
        <f t="shared" si="7"/>
        <v>0</v>
      </c>
      <c r="H123" t="str">
        <f t="shared" si="8"/>
        <v>TURN_229_232_233</v>
      </c>
      <c r="I123" t="e">
        <f t="shared" ca="1" si="9"/>
        <v>#REF!</v>
      </c>
      <c r="J123">
        <f t="shared" ca="1" si="10"/>
        <v>0</v>
      </c>
      <c r="K123" t="str">
        <f t="shared" ca="1" si="11"/>
        <v>229,232,233,TURN_229_232_233,0</v>
      </c>
    </row>
    <row r="124" spans="1:11" hidden="1" x14ac:dyDescent="0.25">
      <c r="A124">
        <v>232</v>
      </c>
      <c r="B124">
        <v>233</v>
      </c>
      <c r="C124">
        <v>234</v>
      </c>
      <c r="D124">
        <v>0</v>
      </c>
      <c r="E124" t="e">
        <f t="shared" si="6"/>
        <v>#N/A</v>
      </c>
      <c r="G124" t="b">
        <f t="shared" si="7"/>
        <v>0</v>
      </c>
      <c r="H124" t="str">
        <f t="shared" si="8"/>
        <v>TURN_232_233_234</v>
      </c>
      <c r="I124" t="e">
        <f t="shared" ca="1" si="9"/>
        <v>#REF!</v>
      </c>
      <c r="J124">
        <f t="shared" ca="1" si="10"/>
        <v>0</v>
      </c>
      <c r="K124" t="str">
        <f t="shared" ca="1" si="11"/>
        <v>232,233,234,TURN_232_233_234,0</v>
      </c>
    </row>
    <row r="125" spans="1:11" hidden="1" x14ac:dyDescent="0.25">
      <c r="A125">
        <v>232</v>
      </c>
      <c r="B125">
        <v>233</v>
      </c>
      <c r="C125">
        <v>236</v>
      </c>
      <c r="D125">
        <v>0</v>
      </c>
      <c r="E125" t="e">
        <f t="shared" si="6"/>
        <v>#N/A</v>
      </c>
      <c r="G125" t="b">
        <f t="shared" si="7"/>
        <v>0</v>
      </c>
      <c r="H125" t="str">
        <f t="shared" si="8"/>
        <v>TURN_232_233_236</v>
      </c>
      <c r="I125" t="e">
        <f t="shared" ca="1" si="9"/>
        <v>#REF!</v>
      </c>
      <c r="J125">
        <f t="shared" ca="1" si="10"/>
        <v>0</v>
      </c>
      <c r="K125" t="str">
        <f t="shared" ca="1" si="11"/>
        <v>232,233,236,TURN_232_233_236,0</v>
      </c>
    </row>
    <row r="126" spans="1:11" x14ac:dyDescent="0.25">
      <c r="A126">
        <v>514</v>
      </c>
      <c r="B126">
        <v>405</v>
      </c>
      <c r="C126">
        <v>406</v>
      </c>
      <c r="D126">
        <v>0</v>
      </c>
      <c r="E126">
        <f t="shared" si="6"/>
        <v>11</v>
      </c>
      <c r="G126" t="b">
        <f t="shared" si="7"/>
        <v>0</v>
      </c>
      <c r="H126" t="str">
        <f t="shared" si="8"/>
        <v>TURN_514_405_406</v>
      </c>
      <c r="I126">
        <f t="shared" ca="1" si="9"/>
        <v>300</v>
      </c>
      <c r="J126">
        <f t="shared" ca="1" si="10"/>
        <v>300</v>
      </c>
      <c r="K126" t="str">
        <f t="shared" ca="1" si="11"/>
        <v>514,405,406,TURN_514_405_406,300</v>
      </c>
    </row>
    <row r="127" spans="1:11" x14ac:dyDescent="0.25">
      <c r="A127">
        <v>514</v>
      </c>
      <c r="B127">
        <v>405</v>
      </c>
      <c r="C127">
        <v>323</v>
      </c>
      <c r="D127">
        <v>0</v>
      </c>
      <c r="E127">
        <f t="shared" si="6"/>
        <v>11</v>
      </c>
      <c r="G127" t="b">
        <f t="shared" si="7"/>
        <v>0</v>
      </c>
      <c r="H127" t="str">
        <f t="shared" si="8"/>
        <v>TURN_514_405_323</v>
      </c>
      <c r="I127">
        <f t="shared" ca="1" si="9"/>
        <v>500</v>
      </c>
      <c r="J127">
        <f t="shared" ca="1" si="10"/>
        <v>500</v>
      </c>
      <c r="K127" t="str">
        <f t="shared" ca="1" si="11"/>
        <v>514,405,323,TURN_514_405_323,500</v>
      </c>
    </row>
    <row r="128" spans="1:11" x14ac:dyDescent="0.25">
      <c r="A128">
        <v>514</v>
      </c>
      <c r="B128">
        <v>405</v>
      </c>
      <c r="C128">
        <v>514</v>
      </c>
      <c r="D128">
        <v>0</v>
      </c>
      <c r="E128">
        <f t="shared" si="6"/>
        <v>11</v>
      </c>
      <c r="F128">
        <v>0</v>
      </c>
      <c r="G128" t="b">
        <f t="shared" si="7"/>
        <v>1</v>
      </c>
      <c r="H128" t="str">
        <f t="shared" si="8"/>
        <v>TURN_514_405_514</v>
      </c>
      <c r="I128" t="e">
        <f t="shared" ca="1" si="9"/>
        <v>#REF!</v>
      </c>
      <c r="J128">
        <f t="shared" ca="1" si="10"/>
        <v>0</v>
      </c>
      <c r="K128" t="str">
        <f t="shared" ca="1" si="11"/>
        <v>514,405,514,TURN_514_405_514,0</v>
      </c>
    </row>
    <row r="129" spans="1:11" hidden="1" x14ac:dyDescent="0.25">
      <c r="A129">
        <v>308</v>
      </c>
      <c r="B129">
        <v>309</v>
      </c>
      <c r="C129">
        <v>310</v>
      </c>
      <c r="D129">
        <v>0</v>
      </c>
      <c r="E129" t="e">
        <f t="shared" si="6"/>
        <v>#N/A</v>
      </c>
      <c r="G129" t="b">
        <f t="shared" si="7"/>
        <v>0</v>
      </c>
      <c r="H129" t="str">
        <f t="shared" si="8"/>
        <v>TURN_308_309_310</v>
      </c>
      <c r="I129" t="e">
        <f t="shared" ca="1" si="9"/>
        <v>#REF!</v>
      </c>
      <c r="J129">
        <f t="shared" ca="1" si="10"/>
        <v>0</v>
      </c>
      <c r="K129" t="str">
        <f t="shared" ca="1" si="11"/>
        <v>308,309,310,TURN_308_309_310,0</v>
      </c>
    </row>
    <row r="130" spans="1:11" hidden="1" x14ac:dyDescent="0.25">
      <c r="A130">
        <v>308</v>
      </c>
      <c r="B130">
        <v>309</v>
      </c>
      <c r="C130">
        <v>312</v>
      </c>
      <c r="D130">
        <v>0</v>
      </c>
      <c r="E130" t="e">
        <f t="shared" ref="E130:E193" si="12">MATCH(B130,$M$3:$M$18,0)</f>
        <v>#N/A</v>
      </c>
      <c r="G130" t="b">
        <f t="shared" ref="G130:G193" si="13">A130=C130</f>
        <v>0</v>
      </c>
      <c r="H130" t="str">
        <f t="shared" si="8"/>
        <v>TURN_308_309_312</v>
      </c>
      <c r="I130" t="e">
        <f t="shared" ca="1" si="9"/>
        <v>#REF!</v>
      </c>
      <c r="J130">
        <f t="shared" ca="1" si="10"/>
        <v>0</v>
      </c>
      <c r="K130" t="str">
        <f t="shared" ca="1" si="11"/>
        <v>308,309,312,TURN_308_309_312,0</v>
      </c>
    </row>
    <row r="131" spans="1:11" hidden="1" x14ac:dyDescent="0.25">
      <c r="A131">
        <v>402</v>
      </c>
      <c r="B131">
        <v>403</v>
      </c>
      <c r="C131">
        <v>404</v>
      </c>
      <c r="D131">
        <v>0</v>
      </c>
      <c r="E131" t="e">
        <f t="shared" si="12"/>
        <v>#N/A</v>
      </c>
      <c r="G131" t="b">
        <f t="shared" si="13"/>
        <v>0</v>
      </c>
      <c r="H131" t="str">
        <f t="shared" ref="H131:H194" si="14">"TURN_"&amp;A131&amp;"_"&amp;B131&amp;"_"&amp;C131</f>
        <v>TURN_402_403_404</v>
      </c>
      <c r="I131" t="e">
        <f t="shared" ref="I131:I194" ca="1" si="15">INDIRECT("targets!"&amp;H131)</f>
        <v>#REF!</v>
      </c>
      <c r="J131">
        <f t="shared" ref="J131:J194" ca="1" si="16">IFERROR(I131,0)</f>
        <v>0</v>
      </c>
      <c r="K131" t="str">
        <f t="shared" ref="K131:K194" ca="1" si="17">CONCATENATE(A131,",",B131,",",C131,",",H131,",",J131)</f>
        <v>402,403,404,TURN_402_403_404,0</v>
      </c>
    </row>
    <row r="132" spans="1:11" x14ac:dyDescent="0.25">
      <c r="A132">
        <v>402</v>
      </c>
      <c r="B132">
        <v>326</v>
      </c>
      <c r="C132">
        <v>327</v>
      </c>
      <c r="D132">
        <v>0</v>
      </c>
      <c r="E132">
        <f t="shared" si="12"/>
        <v>9</v>
      </c>
      <c r="G132" t="b">
        <f t="shared" si="13"/>
        <v>0</v>
      </c>
      <c r="H132" t="str">
        <f t="shared" si="14"/>
        <v>TURN_402_326_327</v>
      </c>
      <c r="I132">
        <f t="shared" ca="1" si="15"/>
        <v>200</v>
      </c>
      <c r="J132">
        <f t="shared" ca="1" si="16"/>
        <v>200</v>
      </c>
      <c r="K132" t="str">
        <f t="shared" ca="1" si="17"/>
        <v>402,326,327,TURN_402_326_327,200</v>
      </c>
    </row>
    <row r="133" spans="1:11" x14ac:dyDescent="0.25">
      <c r="A133">
        <v>402</v>
      </c>
      <c r="B133">
        <v>326</v>
      </c>
      <c r="C133">
        <v>402</v>
      </c>
      <c r="D133">
        <v>0</v>
      </c>
      <c r="E133">
        <f t="shared" si="12"/>
        <v>9</v>
      </c>
      <c r="F133">
        <v>0</v>
      </c>
      <c r="G133" t="b">
        <f t="shared" si="13"/>
        <v>1</v>
      </c>
      <c r="H133" t="str">
        <f t="shared" si="14"/>
        <v>TURN_402_326_402</v>
      </c>
      <c r="I133" t="e">
        <f t="shared" ca="1" si="15"/>
        <v>#REF!</v>
      </c>
      <c r="J133">
        <f t="shared" ca="1" si="16"/>
        <v>0</v>
      </c>
      <c r="K133" t="str">
        <f t="shared" ca="1" si="17"/>
        <v>402,326,402,TURN_402_326_402,0</v>
      </c>
    </row>
    <row r="134" spans="1:11" x14ac:dyDescent="0.25">
      <c r="A134">
        <v>402</v>
      </c>
      <c r="B134">
        <v>326</v>
      </c>
      <c r="C134">
        <v>511</v>
      </c>
      <c r="D134">
        <v>0</v>
      </c>
      <c r="E134">
        <f t="shared" si="12"/>
        <v>9</v>
      </c>
      <c r="G134" t="b">
        <f t="shared" si="13"/>
        <v>0</v>
      </c>
      <c r="H134" t="str">
        <f t="shared" si="14"/>
        <v>TURN_402_326_511</v>
      </c>
      <c r="I134">
        <f t="shared" ca="1" si="15"/>
        <v>1000</v>
      </c>
      <c r="J134">
        <f t="shared" ca="1" si="16"/>
        <v>1000</v>
      </c>
      <c r="K134" t="str">
        <f t="shared" ca="1" si="17"/>
        <v>402,326,511,TURN_402_326_511,1000</v>
      </c>
    </row>
    <row r="135" spans="1:11" x14ac:dyDescent="0.25">
      <c r="A135">
        <v>515</v>
      </c>
      <c r="B135">
        <v>402</v>
      </c>
      <c r="C135">
        <v>403</v>
      </c>
      <c r="D135">
        <v>0</v>
      </c>
      <c r="E135">
        <f t="shared" si="12"/>
        <v>12</v>
      </c>
      <c r="G135" t="b">
        <f t="shared" si="13"/>
        <v>0</v>
      </c>
      <c r="H135" t="str">
        <f t="shared" si="14"/>
        <v>TURN_515_402_403</v>
      </c>
      <c r="I135">
        <f t="shared" ca="1" si="15"/>
        <v>600</v>
      </c>
      <c r="J135">
        <f t="shared" ca="1" si="16"/>
        <v>600</v>
      </c>
      <c r="K135" t="str">
        <f t="shared" ca="1" si="17"/>
        <v>515,402,403,TURN_515_402_403,600</v>
      </c>
    </row>
    <row r="136" spans="1:11" x14ac:dyDescent="0.25">
      <c r="A136">
        <v>515</v>
      </c>
      <c r="B136">
        <v>402</v>
      </c>
      <c r="C136">
        <v>326</v>
      </c>
      <c r="D136">
        <v>0</v>
      </c>
      <c r="E136">
        <f t="shared" si="12"/>
        <v>12</v>
      </c>
      <c r="G136" t="b">
        <f t="shared" si="13"/>
        <v>0</v>
      </c>
      <c r="H136" t="str">
        <f t="shared" si="14"/>
        <v>TURN_515_402_326</v>
      </c>
      <c r="I136">
        <f t="shared" ca="1" si="15"/>
        <v>600</v>
      </c>
      <c r="J136">
        <f t="shared" ca="1" si="16"/>
        <v>600</v>
      </c>
      <c r="K136" t="str">
        <f t="shared" ca="1" si="17"/>
        <v>515,402,326,TURN_515_402_326,600</v>
      </c>
    </row>
    <row r="137" spans="1:11" x14ac:dyDescent="0.25">
      <c r="A137">
        <v>515</v>
      </c>
      <c r="B137">
        <v>402</v>
      </c>
      <c r="C137">
        <v>515</v>
      </c>
      <c r="D137">
        <v>0</v>
      </c>
      <c r="E137">
        <f t="shared" si="12"/>
        <v>12</v>
      </c>
      <c r="F137">
        <v>0</v>
      </c>
      <c r="G137" t="b">
        <f t="shared" si="13"/>
        <v>1</v>
      </c>
      <c r="H137" t="str">
        <f t="shared" si="14"/>
        <v>TURN_515_402_515</v>
      </c>
      <c r="I137" t="e">
        <f t="shared" ca="1" si="15"/>
        <v>#REF!</v>
      </c>
      <c r="J137">
        <f t="shared" ca="1" si="16"/>
        <v>0</v>
      </c>
      <c r="K137" t="str">
        <f t="shared" ca="1" si="17"/>
        <v>515,402,515,TURN_515_402_515,0</v>
      </c>
    </row>
    <row r="138" spans="1:11" hidden="1" x14ac:dyDescent="0.25">
      <c r="A138">
        <v>127</v>
      </c>
      <c r="B138">
        <v>128</v>
      </c>
      <c r="C138">
        <v>129</v>
      </c>
      <c r="D138">
        <v>0</v>
      </c>
      <c r="E138" t="e">
        <f t="shared" si="12"/>
        <v>#N/A</v>
      </c>
      <c r="G138" t="b">
        <f t="shared" si="13"/>
        <v>0</v>
      </c>
      <c r="H138" t="str">
        <f t="shared" si="14"/>
        <v>TURN_127_128_129</v>
      </c>
      <c r="I138" t="e">
        <f t="shared" ca="1" si="15"/>
        <v>#REF!</v>
      </c>
      <c r="J138">
        <f t="shared" ca="1" si="16"/>
        <v>0</v>
      </c>
      <c r="K138" t="str">
        <f t="shared" ca="1" si="17"/>
        <v>127,128,129,TURN_127_128_129,0</v>
      </c>
    </row>
    <row r="139" spans="1:11" hidden="1" x14ac:dyDescent="0.25">
      <c r="A139">
        <v>113</v>
      </c>
      <c r="B139">
        <v>114</v>
      </c>
      <c r="C139">
        <v>115</v>
      </c>
      <c r="D139">
        <v>0</v>
      </c>
      <c r="E139" t="e">
        <f t="shared" si="12"/>
        <v>#N/A</v>
      </c>
      <c r="G139" t="b">
        <f t="shared" si="13"/>
        <v>0</v>
      </c>
      <c r="H139" t="str">
        <f t="shared" si="14"/>
        <v>TURN_113_114_115</v>
      </c>
      <c r="I139" t="e">
        <f t="shared" ca="1" si="15"/>
        <v>#REF!</v>
      </c>
      <c r="J139">
        <f t="shared" ca="1" si="16"/>
        <v>0</v>
      </c>
      <c r="K139" t="str">
        <f t="shared" ca="1" si="17"/>
        <v>113,114,115,TURN_113_114_115,0</v>
      </c>
    </row>
    <row r="140" spans="1:11" x14ac:dyDescent="0.25">
      <c r="A140">
        <v>113</v>
      </c>
      <c r="B140">
        <v>224</v>
      </c>
      <c r="C140">
        <v>225</v>
      </c>
      <c r="D140">
        <v>0</v>
      </c>
      <c r="E140">
        <f t="shared" si="12"/>
        <v>13</v>
      </c>
      <c r="F140">
        <v>600</v>
      </c>
      <c r="G140" t="b">
        <f t="shared" si="13"/>
        <v>0</v>
      </c>
      <c r="H140" t="str">
        <f t="shared" si="14"/>
        <v>TURN_113_224_225</v>
      </c>
      <c r="I140">
        <f t="shared" ca="1" si="15"/>
        <v>700</v>
      </c>
      <c r="J140">
        <f t="shared" ca="1" si="16"/>
        <v>700</v>
      </c>
      <c r="K140" t="str">
        <f t="shared" ca="1" si="17"/>
        <v>113,224,225,TURN_113_224_225,700</v>
      </c>
    </row>
    <row r="141" spans="1:11" x14ac:dyDescent="0.25">
      <c r="A141">
        <v>113</v>
      </c>
      <c r="B141">
        <v>224</v>
      </c>
      <c r="C141">
        <v>113</v>
      </c>
      <c r="D141">
        <v>0</v>
      </c>
      <c r="E141">
        <f t="shared" si="12"/>
        <v>13</v>
      </c>
      <c r="F141">
        <v>0</v>
      </c>
      <c r="G141" t="b">
        <f t="shared" si="13"/>
        <v>1</v>
      </c>
      <c r="H141" t="str">
        <f t="shared" si="14"/>
        <v>TURN_113_224_113</v>
      </c>
      <c r="I141" t="e">
        <f t="shared" ca="1" si="15"/>
        <v>#REF!</v>
      </c>
      <c r="J141">
        <f t="shared" ca="1" si="16"/>
        <v>0</v>
      </c>
      <c r="K141" t="str">
        <f t="shared" ca="1" si="17"/>
        <v>113,224,113,TURN_113_224_113,0</v>
      </c>
    </row>
    <row r="142" spans="1:11" x14ac:dyDescent="0.25">
      <c r="A142">
        <v>113</v>
      </c>
      <c r="B142">
        <v>224</v>
      </c>
      <c r="C142">
        <v>508</v>
      </c>
      <c r="D142">
        <v>0</v>
      </c>
      <c r="E142">
        <f t="shared" si="12"/>
        <v>13</v>
      </c>
      <c r="G142" t="b">
        <f t="shared" si="13"/>
        <v>0</v>
      </c>
      <c r="H142" t="str">
        <f t="shared" si="14"/>
        <v>TURN_113_224_508</v>
      </c>
      <c r="I142">
        <f t="shared" ca="1" si="15"/>
        <v>250</v>
      </c>
      <c r="J142">
        <f t="shared" ca="1" si="16"/>
        <v>250</v>
      </c>
      <c r="K142" t="str">
        <f t="shared" ca="1" si="17"/>
        <v>113,224,508,TURN_113_224_508,250</v>
      </c>
    </row>
    <row r="143" spans="1:11" x14ac:dyDescent="0.25">
      <c r="A143">
        <v>113</v>
      </c>
      <c r="B143">
        <v>509</v>
      </c>
      <c r="C143">
        <v>320</v>
      </c>
      <c r="D143">
        <v>0</v>
      </c>
      <c r="E143">
        <f t="shared" si="12"/>
        <v>4</v>
      </c>
      <c r="G143" t="b">
        <f t="shared" si="13"/>
        <v>0</v>
      </c>
      <c r="H143" t="str">
        <f t="shared" si="14"/>
        <v>TURN_113_509_320</v>
      </c>
      <c r="I143">
        <f t="shared" ca="1" si="15"/>
        <v>50</v>
      </c>
      <c r="J143">
        <f t="shared" ca="1" si="16"/>
        <v>50</v>
      </c>
      <c r="K143" t="str">
        <f t="shared" ca="1" si="17"/>
        <v>113,509,320,TURN_113_509_320,50</v>
      </c>
    </row>
    <row r="144" spans="1:11" x14ac:dyDescent="0.25">
      <c r="A144">
        <v>113</v>
      </c>
      <c r="B144">
        <v>509</v>
      </c>
      <c r="C144">
        <v>504</v>
      </c>
      <c r="D144">
        <v>0</v>
      </c>
      <c r="E144">
        <f t="shared" si="12"/>
        <v>4</v>
      </c>
      <c r="G144" t="b">
        <f t="shared" si="13"/>
        <v>0</v>
      </c>
      <c r="H144" t="str">
        <f t="shared" si="14"/>
        <v>TURN_113_509_504</v>
      </c>
      <c r="I144">
        <f t="shared" ca="1" si="15"/>
        <v>100</v>
      </c>
      <c r="J144">
        <f t="shared" ca="1" si="16"/>
        <v>100</v>
      </c>
      <c r="K144" t="str">
        <f t="shared" ca="1" si="17"/>
        <v>113,509,504,TURN_113_509_504,100</v>
      </c>
    </row>
    <row r="145" spans="1:11" x14ac:dyDescent="0.25">
      <c r="A145">
        <v>113</v>
      </c>
      <c r="B145">
        <v>509</v>
      </c>
      <c r="C145">
        <v>113</v>
      </c>
      <c r="D145">
        <v>0</v>
      </c>
      <c r="E145">
        <f t="shared" si="12"/>
        <v>4</v>
      </c>
      <c r="F145">
        <v>0</v>
      </c>
      <c r="G145" t="b">
        <f t="shared" si="13"/>
        <v>1</v>
      </c>
      <c r="H145" t="str">
        <f t="shared" si="14"/>
        <v>TURN_113_509_113</v>
      </c>
      <c r="I145" t="e">
        <f t="shared" ca="1" si="15"/>
        <v>#REF!</v>
      </c>
      <c r="J145">
        <f t="shared" ca="1" si="16"/>
        <v>0</v>
      </c>
      <c r="K145" t="str">
        <f t="shared" ca="1" si="17"/>
        <v>113,509,113,TURN_113_509_113,0</v>
      </c>
    </row>
    <row r="146" spans="1:11" x14ac:dyDescent="0.25">
      <c r="A146">
        <v>113</v>
      </c>
      <c r="B146">
        <v>509</v>
      </c>
      <c r="C146">
        <v>510</v>
      </c>
      <c r="D146">
        <v>0</v>
      </c>
      <c r="E146">
        <f t="shared" si="12"/>
        <v>4</v>
      </c>
      <c r="G146" t="b">
        <f t="shared" si="13"/>
        <v>0</v>
      </c>
      <c r="H146" t="str">
        <f t="shared" si="14"/>
        <v>TURN_113_509_510</v>
      </c>
      <c r="I146">
        <f t="shared" ca="1" si="15"/>
        <v>1200</v>
      </c>
      <c r="J146">
        <f t="shared" ca="1" si="16"/>
        <v>1200</v>
      </c>
      <c r="K146" t="str">
        <f t="shared" ca="1" si="17"/>
        <v>113,509,510,TURN_113_509_510,1200</v>
      </c>
    </row>
    <row r="147" spans="1:11" hidden="1" x14ac:dyDescent="0.25">
      <c r="A147">
        <v>216</v>
      </c>
      <c r="B147">
        <v>217</v>
      </c>
      <c r="C147">
        <v>218</v>
      </c>
      <c r="D147">
        <v>0</v>
      </c>
      <c r="E147" t="e">
        <f t="shared" si="12"/>
        <v>#N/A</v>
      </c>
      <c r="G147" t="b">
        <f t="shared" si="13"/>
        <v>0</v>
      </c>
      <c r="H147" t="str">
        <f t="shared" si="14"/>
        <v>TURN_216_217_218</v>
      </c>
      <c r="I147" t="e">
        <f t="shared" ca="1" si="15"/>
        <v>#REF!</v>
      </c>
      <c r="J147">
        <f t="shared" ca="1" si="16"/>
        <v>0</v>
      </c>
      <c r="K147" t="str">
        <f t="shared" ca="1" si="17"/>
        <v>216,217,218,TURN_216_217_218,0</v>
      </c>
    </row>
    <row r="148" spans="1:11" hidden="1" x14ac:dyDescent="0.25">
      <c r="A148">
        <v>216</v>
      </c>
      <c r="B148">
        <v>217</v>
      </c>
      <c r="C148">
        <v>222</v>
      </c>
      <c r="D148">
        <v>0</v>
      </c>
      <c r="E148" t="e">
        <f t="shared" si="12"/>
        <v>#N/A</v>
      </c>
      <c r="G148" t="b">
        <f t="shared" si="13"/>
        <v>0</v>
      </c>
      <c r="H148" t="str">
        <f t="shared" si="14"/>
        <v>TURN_216_217_222</v>
      </c>
      <c r="I148" t="e">
        <f t="shared" ca="1" si="15"/>
        <v>#REF!</v>
      </c>
      <c r="J148">
        <f t="shared" ca="1" si="16"/>
        <v>0</v>
      </c>
      <c r="K148" t="str">
        <f t="shared" ca="1" si="17"/>
        <v>216,217,222,TURN_216_217_222,0</v>
      </c>
    </row>
    <row r="149" spans="1:11" hidden="1" x14ac:dyDescent="0.25">
      <c r="A149">
        <v>128</v>
      </c>
      <c r="B149">
        <v>129</v>
      </c>
      <c r="C149">
        <v>130</v>
      </c>
      <c r="D149">
        <v>0</v>
      </c>
      <c r="E149" t="e">
        <f t="shared" si="12"/>
        <v>#N/A</v>
      </c>
      <c r="G149" t="b">
        <f t="shared" si="13"/>
        <v>0</v>
      </c>
      <c r="H149" t="str">
        <f t="shared" si="14"/>
        <v>TURN_128_129_130</v>
      </c>
      <c r="I149" t="e">
        <f t="shared" ca="1" si="15"/>
        <v>#REF!</v>
      </c>
      <c r="J149">
        <f t="shared" ca="1" si="16"/>
        <v>0</v>
      </c>
      <c r="K149" t="str">
        <f t="shared" ca="1" si="17"/>
        <v>128,129,130,TURN_128_129_130,0</v>
      </c>
    </row>
    <row r="150" spans="1:11" hidden="1" x14ac:dyDescent="0.25">
      <c r="A150">
        <v>128</v>
      </c>
      <c r="B150">
        <v>129</v>
      </c>
      <c r="C150">
        <v>132</v>
      </c>
      <c r="D150">
        <v>0</v>
      </c>
      <c r="E150" t="e">
        <f t="shared" si="12"/>
        <v>#N/A</v>
      </c>
      <c r="G150" t="b">
        <f t="shared" si="13"/>
        <v>0</v>
      </c>
      <c r="H150" t="str">
        <f t="shared" si="14"/>
        <v>TURN_128_129_132</v>
      </c>
      <c r="I150" t="e">
        <f t="shared" ca="1" si="15"/>
        <v>#REF!</v>
      </c>
      <c r="J150">
        <f t="shared" ca="1" si="16"/>
        <v>0</v>
      </c>
      <c r="K150" t="str">
        <f t="shared" ca="1" si="17"/>
        <v>128,129,132,TURN_128_129_132,0</v>
      </c>
    </row>
    <row r="151" spans="1:11" hidden="1" x14ac:dyDescent="0.25">
      <c r="A151">
        <v>212</v>
      </c>
      <c r="B151">
        <v>213</v>
      </c>
      <c r="C151">
        <v>216</v>
      </c>
      <c r="D151">
        <v>0</v>
      </c>
      <c r="E151" t="e">
        <f t="shared" si="12"/>
        <v>#N/A</v>
      </c>
      <c r="G151" t="b">
        <f t="shared" si="13"/>
        <v>0</v>
      </c>
      <c r="H151" t="str">
        <f t="shared" si="14"/>
        <v>TURN_212_213_216</v>
      </c>
      <c r="I151" t="e">
        <f t="shared" ca="1" si="15"/>
        <v>#REF!</v>
      </c>
      <c r="J151">
        <f t="shared" ca="1" si="16"/>
        <v>0</v>
      </c>
      <c r="K151" t="str">
        <f t="shared" ca="1" si="17"/>
        <v>212,213,216,TURN_212_213_216,0</v>
      </c>
    </row>
    <row r="152" spans="1:11" hidden="1" x14ac:dyDescent="0.25">
      <c r="A152">
        <v>212</v>
      </c>
      <c r="B152">
        <v>213</v>
      </c>
      <c r="C152">
        <v>214</v>
      </c>
      <c r="D152">
        <v>0</v>
      </c>
      <c r="E152" t="e">
        <f t="shared" si="12"/>
        <v>#N/A</v>
      </c>
      <c r="G152" t="b">
        <f t="shared" si="13"/>
        <v>0</v>
      </c>
      <c r="H152" t="str">
        <f t="shared" si="14"/>
        <v>TURN_212_213_214</v>
      </c>
      <c r="I152" t="e">
        <f t="shared" ca="1" si="15"/>
        <v>#REF!</v>
      </c>
      <c r="J152">
        <f t="shared" ca="1" si="16"/>
        <v>0</v>
      </c>
      <c r="K152" t="str">
        <f t="shared" ca="1" si="17"/>
        <v>212,213,214,TURN_212_213_214,0</v>
      </c>
    </row>
    <row r="153" spans="1:11" x14ac:dyDescent="0.25">
      <c r="A153">
        <v>223</v>
      </c>
      <c r="B153">
        <v>224</v>
      </c>
      <c r="C153">
        <v>225</v>
      </c>
      <c r="D153">
        <v>0</v>
      </c>
      <c r="E153">
        <f t="shared" si="12"/>
        <v>13</v>
      </c>
      <c r="F153">
        <v>0</v>
      </c>
      <c r="G153" t="b">
        <f t="shared" si="13"/>
        <v>0</v>
      </c>
      <c r="H153" t="str">
        <f t="shared" si="14"/>
        <v>TURN_223_224_225</v>
      </c>
      <c r="I153" t="e">
        <f t="shared" ca="1" si="15"/>
        <v>#REF!</v>
      </c>
      <c r="J153">
        <f t="shared" ca="1" si="16"/>
        <v>0</v>
      </c>
      <c r="K153" t="str">
        <f t="shared" ca="1" si="17"/>
        <v>223,224,225,TURN_223_224_225,0</v>
      </c>
    </row>
    <row r="154" spans="1:11" x14ac:dyDescent="0.25">
      <c r="A154">
        <v>223</v>
      </c>
      <c r="B154">
        <v>224</v>
      </c>
      <c r="C154">
        <v>113</v>
      </c>
      <c r="D154">
        <v>0</v>
      </c>
      <c r="E154">
        <f t="shared" si="12"/>
        <v>13</v>
      </c>
      <c r="F154">
        <v>200</v>
      </c>
      <c r="G154" t="b">
        <f t="shared" si="13"/>
        <v>0</v>
      </c>
      <c r="H154" t="str">
        <f t="shared" si="14"/>
        <v>TURN_223_224_113</v>
      </c>
      <c r="I154">
        <f t="shared" ca="1" si="15"/>
        <v>550</v>
      </c>
      <c r="J154">
        <f t="shared" ca="1" si="16"/>
        <v>550</v>
      </c>
      <c r="K154" t="str">
        <f t="shared" ca="1" si="17"/>
        <v>223,224,113,TURN_223_224_113,550</v>
      </c>
    </row>
    <row r="155" spans="1:11" x14ac:dyDescent="0.25">
      <c r="A155">
        <v>223</v>
      </c>
      <c r="B155">
        <v>224</v>
      </c>
      <c r="C155">
        <v>508</v>
      </c>
      <c r="D155">
        <v>0</v>
      </c>
      <c r="E155">
        <f t="shared" si="12"/>
        <v>13</v>
      </c>
      <c r="F155">
        <v>380</v>
      </c>
      <c r="G155" t="b">
        <f t="shared" si="13"/>
        <v>0</v>
      </c>
      <c r="H155" t="str">
        <f t="shared" si="14"/>
        <v>TURN_223_224_508</v>
      </c>
      <c r="I155">
        <f t="shared" ca="1" si="15"/>
        <v>100</v>
      </c>
      <c r="J155">
        <f t="shared" ca="1" si="16"/>
        <v>100</v>
      </c>
      <c r="K155" t="str">
        <f t="shared" ca="1" si="17"/>
        <v>223,224,508,TURN_223_224_508,100</v>
      </c>
    </row>
    <row r="156" spans="1:11" hidden="1" x14ac:dyDescent="0.25">
      <c r="A156">
        <v>223</v>
      </c>
      <c r="B156">
        <v>225</v>
      </c>
      <c r="C156">
        <v>226</v>
      </c>
      <c r="D156">
        <v>0</v>
      </c>
      <c r="E156" t="e">
        <f t="shared" si="12"/>
        <v>#N/A</v>
      </c>
      <c r="G156" t="b">
        <f t="shared" si="13"/>
        <v>0</v>
      </c>
      <c r="H156" t="str">
        <f t="shared" si="14"/>
        <v>TURN_223_225_226</v>
      </c>
      <c r="I156" t="e">
        <f t="shared" ca="1" si="15"/>
        <v>#REF!</v>
      </c>
      <c r="J156">
        <f t="shared" ca="1" si="16"/>
        <v>0</v>
      </c>
      <c r="K156" t="str">
        <f t="shared" ca="1" si="17"/>
        <v>223,225,226,TURN_223_225_226,0</v>
      </c>
    </row>
    <row r="157" spans="1:11" hidden="1" x14ac:dyDescent="0.25">
      <c r="A157">
        <v>224</v>
      </c>
      <c r="B157">
        <v>225</v>
      </c>
      <c r="C157">
        <v>226</v>
      </c>
      <c r="D157">
        <v>0</v>
      </c>
      <c r="E157" t="e">
        <f t="shared" si="12"/>
        <v>#N/A</v>
      </c>
      <c r="G157" t="b">
        <f t="shared" si="13"/>
        <v>0</v>
      </c>
      <c r="H157" t="str">
        <f t="shared" si="14"/>
        <v>TURN_224_225_226</v>
      </c>
      <c r="I157" t="e">
        <f t="shared" ca="1" si="15"/>
        <v>#REF!</v>
      </c>
      <c r="J157">
        <f t="shared" ca="1" si="16"/>
        <v>0</v>
      </c>
      <c r="K157" t="str">
        <f t="shared" ca="1" si="17"/>
        <v>224,225,226,TURN_224_225_226,0</v>
      </c>
    </row>
    <row r="158" spans="1:11" x14ac:dyDescent="0.25">
      <c r="A158">
        <v>224</v>
      </c>
      <c r="B158">
        <v>113</v>
      </c>
      <c r="C158">
        <v>114</v>
      </c>
      <c r="D158">
        <v>0</v>
      </c>
      <c r="E158">
        <f t="shared" si="12"/>
        <v>14</v>
      </c>
      <c r="F158">
        <v>250</v>
      </c>
      <c r="G158" t="b">
        <f t="shared" si="13"/>
        <v>0</v>
      </c>
      <c r="H158" t="str">
        <f t="shared" si="14"/>
        <v>TURN_224_113_114</v>
      </c>
      <c r="I158">
        <f t="shared" ca="1" si="15"/>
        <v>100</v>
      </c>
      <c r="J158">
        <f t="shared" ca="1" si="16"/>
        <v>100</v>
      </c>
      <c r="K158" t="str">
        <f t="shared" ca="1" si="17"/>
        <v>224,113,114,TURN_224_113_114,100</v>
      </c>
    </row>
    <row r="159" spans="1:11" x14ac:dyDescent="0.25">
      <c r="A159">
        <v>224</v>
      </c>
      <c r="B159">
        <v>113</v>
      </c>
      <c r="C159">
        <v>224</v>
      </c>
      <c r="D159">
        <v>0</v>
      </c>
      <c r="E159">
        <f t="shared" si="12"/>
        <v>14</v>
      </c>
      <c r="F159">
        <v>0</v>
      </c>
      <c r="G159" t="b">
        <f t="shared" si="13"/>
        <v>1</v>
      </c>
      <c r="H159" t="str">
        <f t="shared" si="14"/>
        <v>TURN_224_113_224</v>
      </c>
      <c r="I159" t="e">
        <f t="shared" ca="1" si="15"/>
        <v>#REF!</v>
      </c>
      <c r="J159">
        <f t="shared" ca="1" si="16"/>
        <v>0</v>
      </c>
      <c r="K159" t="str">
        <f t="shared" ca="1" si="17"/>
        <v>224,113,224,TURN_224_113_224,0</v>
      </c>
    </row>
    <row r="160" spans="1:11" x14ac:dyDescent="0.25">
      <c r="A160">
        <v>224</v>
      </c>
      <c r="B160">
        <v>113</v>
      </c>
      <c r="C160">
        <v>509</v>
      </c>
      <c r="D160">
        <v>0</v>
      </c>
      <c r="E160">
        <f t="shared" si="12"/>
        <v>14</v>
      </c>
      <c r="G160" t="b">
        <f t="shared" si="13"/>
        <v>0</v>
      </c>
      <c r="H160" t="str">
        <f t="shared" si="14"/>
        <v>TURN_224_113_509</v>
      </c>
      <c r="I160">
        <f t="shared" ca="1" si="15"/>
        <v>1100</v>
      </c>
      <c r="J160">
        <f t="shared" ca="1" si="16"/>
        <v>1100</v>
      </c>
      <c r="K160" t="str">
        <f t="shared" ca="1" si="17"/>
        <v>224,113,509,TURN_224_113_509,1100</v>
      </c>
    </row>
    <row r="161" spans="1:11" hidden="1" x14ac:dyDescent="0.25">
      <c r="A161">
        <v>205</v>
      </c>
      <c r="B161">
        <v>208</v>
      </c>
      <c r="C161">
        <v>209</v>
      </c>
      <c r="D161">
        <v>0</v>
      </c>
      <c r="E161" t="e">
        <f t="shared" si="12"/>
        <v>#N/A</v>
      </c>
      <c r="G161" t="b">
        <f t="shared" si="13"/>
        <v>0</v>
      </c>
      <c r="H161" t="str">
        <f t="shared" si="14"/>
        <v>TURN_205_208_209</v>
      </c>
      <c r="I161" t="e">
        <f t="shared" ca="1" si="15"/>
        <v>#REF!</v>
      </c>
      <c r="J161">
        <f t="shared" ca="1" si="16"/>
        <v>0</v>
      </c>
      <c r="K161" t="str">
        <f t="shared" ca="1" si="17"/>
        <v>205,208,209,TURN_205_208_209,0</v>
      </c>
    </row>
    <row r="162" spans="1:11" hidden="1" x14ac:dyDescent="0.25">
      <c r="A162">
        <v>208</v>
      </c>
      <c r="B162">
        <v>209</v>
      </c>
      <c r="C162">
        <v>212</v>
      </c>
      <c r="D162">
        <v>0</v>
      </c>
      <c r="E162" t="e">
        <f t="shared" si="12"/>
        <v>#N/A</v>
      </c>
      <c r="G162" t="b">
        <f t="shared" si="13"/>
        <v>0</v>
      </c>
      <c r="H162" t="str">
        <f t="shared" si="14"/>
        <v>TURN_208_209_212</v>
      </c>
      <c r="I162" t="e">
        <f t="shared" ca="1" si="15"/>
        <v>#REF!</v>
      </c>
      <c r="J162">
        <f t="shared" ca="1" si="16"/>
        <v>0</v>
      </c>
      <c r="K162" t="str">
        <f t="shared" ca="1" si="17"/>
        <v>208,209,212,TURN_208_209_212,0</v>
      </c>
    </row>
    <row r="163" spans="1:11" hidden="1" x14ac:dyDescent="0.25">
      <c r="A163">
        <v>208</v>
      </c>
      <c r="B163">
        <v>209</v>
      </c>
      <c r="C163">
        <v>210</v>
      </c>
      <c r="D163">
        <v>0</v>
      </c>
      <c r="E163" t="e">
        <f t="shared" si="12"/>
        <v>#N/A</v>
      </c>
      <c r="G163" t="b">
        <f t="shared" si="13"/>
        <v>0</v>
      </c>
      <c r="H163" t="str">
        <f t="shared" si="14"/>
        <v>TURN_208_209_210</v>
      </c>
      <c r="I163" t="e">
        <f t="shared" ca="1" si="15"/>
        <v>#REF!</v>
      </c>
      <c r="J163">
        <f t="shared" ca="1" si="16"/>
        <v>0</v>
      </c>
      <c r="K163" t="str">
        <f t="shared" ca="1" si="17"/>
        <v>208,209,210,TURN_208_209_210,0</v>
      </c>
    </row>
    <row r="164" spans="1:11" hidden="1" x14ac:dyDescent="0.25">
      <c r="A164">
        <v>213</v>
      </c>
      <c r="B164">
        <v>216</v>
      </c>
      <c r="C164">
        <v>217</v>
      </c>
      <c r="D164">
        <v>0</v>
      </c>
      <c r="E164" t="e">
        <f t="shared" si="12"/>
        <v>#N/A</v>
      </c>
      <c r="G164" t="b">
        <f t="shared" si="13"/>
        <v>0</v>
      </c>
      <c r="H164" t="str">
        <f t="shared" si="14"/>
        <v>TURN_213_216_217</v>
      </c>
      <c r="I164" t="e">
        <f t="shared" ca="1" si="15"/>
        <v>#REF!</v>
      </c>
      <c r="J164">
        <f t="shared" ca="1" si="16"/>
        <v>0</v>
      </c>
      <c r="K164" t="str">
        <f t="shared" ca="1" si="17"/>
        <v>213,216,217,TURN_213_216_217,0</v>
      </c>
    </row>
    <row r="165" spans="1:11" hidden="1" x14ac:dyDescent="0.25">
      <c r="A165">
        <v>209</v>
      </c>
      <c r="B165">
        <v>212</v>
      </c>
      <c r="C165">
        <v>213</v>
      </c>
      <c r="D165">
        <v>0</v>
      </c>
      <c r="E165" t="e">
        <f t="shared" si="12"/>
        <v>#N/A</v>
      </c>
      <c r="G165" t="b">
        <f t="shared" si="13"/>
        <v>0</v>
      </c>
      <c r="H165" t="str">
        <f t="shared" si="14"/>
        <v>TURN_209_212_213</v>
      </c>
      <c r="I165" t="e">
        <f t="shared" ca="1" si="15"/>
        <v>#REF!</v>
      </c>
      <c r="J165">
        <f t="shared" ca="1" si="16"/>
        <v>0</v>
      </c>
      <c r="K165" t="str">
        <f t="shared" ca="1" si="17"/>
        <v>209,212,213,TURN_209_212_213,0</v>
      </c>
    </row>
    <row r="166" spans="1:11" hidden="1" x14ac:dyDescent="0.25">
      <c r="A166">
        <v>200</v>
      </c>
      <c r="B166">
        <v>201</v>
      </c>
      <c r="C166">
        <v>204</v>
      </c>
      <c r="D166">
        <v>0</v>
      </c>
      <c r="E166" t="e">
        <f t="shared" si="12"/>
        <v>#N/A</v>
      </c>
      <c r="G166" t="b">
        <f t="shared" si="13"/>
        <v>0</v>
      </c>
      <c r="H166" t="str">
        <f t="shared" si="14"/>
        <v>TURN_200_201_204</v>
      </c>
      <c r="I166" t="e">
        <f t="shared" ca="1" si="15"/>
        <v>#REF!</v>
      </c>
      <c r="J166">
        <f t="shared" ca="1" si="16"/>
        <v>0</v>
      </c>
      <c r="K166" t="str">
        <f t="shared" ca="1" si="17"/>
        <v>200,201,204,TURN_200_201_204,0</v>
      </c>
    </row>
    <row r="167" spans="1:11" hidden="1" x14ac:dyDescent="0.25">
      <c r="A167">
        <v>200</v>
      </c>
      <c r="B167">
        <v>201</v>
      </c>
      <c r="C167">
        <v>202</v>
      </c>
      <c r="D167">
        <v>0</v>
      </c>
      <c r="E167" t="e">
        <f t="shared" si="12"/>
        <v>#N/A</v>
      </c>
      <c r="G167" t="b">
        <f t="shared" si="13"/>
        <v>0</v>
      </c>
      <c r="H167" t="str">
        <f t="shared" si="14"/>
        <v>TURN_200_201_202</v>
      </c>
      <c r="I167" t="e">
        <f t="shared" ca="1" si="15"/>
        <v>#REF!</v>
      </c>
      <c r="J167">
        <f t="shared" ca="1" si="16"/>
        <v>0</v>
      </c>
      <c r="K167" t="str">
        <f t="shared" ca="1" si="17"/>
        <v>200,201,202,TURN_200_201_202,0</v>
      </c>
    </row>
    <row r="168" spans="1:11" hidden="1" x14ac:dyDescent="0.25">
      <c r="A168">
        <v>201</v>
      </c>
      <c r="B168">
        <v>204</v>
      </c>
      <c r="C168">
        <v>205</v>
      </c>
      <c r="D168">
        <v>0</v>
      </c>
      <c r="E168" t="e">
        <f t="shared" si="12"/>
        <v>#N/A</v>
      </c>
      <c r="G168" t="b">
        <f t="shared" si="13"/>
        <v>0</v>
      </c>
      <c r="H168" t="str">
        <f t="shared" si="14"/>
        <v>TURN_201_204_205</v>
      </c>
      <c r="I168" t="e">
        <f t="shared" ca="1" si="15"/>
        <v>#REF!</v>
      </c>
      <c r="J168">
        <f t="shared" ca="1" si="16"/>
        <v>0</v>
      </c>
      <c r="K168" t="str">
        <f t="shared" ca="1" si="17"/>
        <v>201,204,205,TURN_201_204_205,0</v>
      </c>
    </row>
    <row r="169" spans="1:11" hidden="1" x14ac:dyDescent="0.25">
      <c r="A169">
        <v>204</v>
      </c>
      <c r="B169">
        <v>205</v>
      </c>
      <c r="C169">
        <v>208</v>
      </c>
      <c r="D169">
        <v>0</v>
      </c>
      <c r="E169" t="e">
        <f t="shared" si="12"/>
        <v>#N/A</v>
      </c>
      <c r="G169" t="b">
        <f t="shared" si="13"/>
        <v>0</v>
      </c>
      <c r="H169" t="str">
        <f t="shared" si="14"/>
        <v>TURN_204_205_208</v>
      </c>
      <c r="I169" t="e">
        <f t="shared" ca="1" si="15"/>
        <v>#REF!</v>
      </c>
      <c r="J169">
        <f t="shared" ca="1" si="16"/>
        <v>0</v>
      </c>
      <c r="K169" t="str">
        <f t="shared" ca="1" si="17"/>
        <v>204,205,208,TURN_204_205_208,0</v>
      </c>
    </row>
    <row r="170" spans="1:11" hidden="1" x14ac:dyDescent="0.25">
      <c r="A170">
        <v>204</v>
      </c>
      <c r="B170">
        <v>205</v>
      </c>
      <c r="C170">
        <v>206</v>
      </c>
      <c r="D170">
        <v>0</v>
      </c>
      <c r="E170" t="e">
        <f t="shared" si="12"/>
        <v>#N/A</v>
      </c>
      <c r="G170" t="b">
        <f t="shared" si="13"/>
        <v>0</v>
      </c>
      <c r="H170" t="str">
        <f t="shared" si="14"/>
        <v>TURN_204_205_206</v>
      </c>
      <c r="I170" t="e">
        <f t="shared" ca="1" si="15"/>
        <v>#REF!</v>
      </c>
      <c r="J170">
        <f t="shared" ca="1" si="16"/>
        <v>0</v>
      </c>
      <c r="K170" t="str">
        <f t="shared" ca="1" si="17"/>
        <v>204,205,206,TURN_204_205_206,0</v>
      </c>
    </row>
    <row r="171" spans="1:11" hidden="1" x14ac:dyDescent="0.25">
      <c r="A171">
        <v>323</v>
      </c>
      <c r="B171">
        <v>324</v>
      </c>
      <c r="C171">
        <v>325</v>
      </c>
      <c r="D171">
        <v>0</v>
      </c>
      <c r="E171" t="e">
        <f t="shared" si="12"/>
        <v>#N/A</v>
      </c>
      <c r="G171" t="b">
        <f t="shared" si="13"/>
        <v>0</v>
      </c>
      <c r="H171" t="str">
        <f t="shared" si="14"/>
        <v>TURN_323_324_325</v>
      </c>
      <c r="I171" t="e">
        <f t="shared" ca="1" si="15"/>
        <v>#REF!</v>
      </c>
      <c r="J171">
        <f t="shared" ca="1" si="16"/>
        <v>0</v>
      </c>
      <c r="K171" t="str">
        <f t="shared" ca="1" si="17"/>
        <v>323,324,325,TURN_323_324_325,0</v>
      </c>
    </row>
    <row r="172" spans="1:11" x14ac:dyDescent="0.25">
      <c r="A172">
        <v>323</v>
      </c>
      <c r="B172">
        <v>405</v>
      </c>
      <c r="C172">
        <v>406</v>
      </c>
      <c r="D172">
        <v>0</v>
      </c>
      <c r="E172">
        <f t="shared" si="12"/>
        <v>11</v>
      </c>
      <c r="G172" t="b">
        <f t="shared" si="13"/>
        <v>0</v>
      </c>
      <c r="H172" t="str">
        <f t="shared" si="14"/>
        <v>TURN_323_405_406</v>
      </c>
      <c r="I172">
        <f t="shared" ca="1" si="15"/>
        <v>350</v>
      </c>
      <c r="J172">
        <f t="shared" ca="1" si="16"/>
        <v>350</v>
      </c>
      <c r="K172" t="str">
        <f t="shared" ca="1" si="17"/>
        <v>323,405,406,TURN_323_405_406,350</v>
      </c>
    </row>
    <row r="173" spans="1:11" x14ac:dyDescent="0.25">
      <c r="A173">
        <v>323</v>
      </c>
      <c r="B173">
        <v>405</v>
      </c>
      <c r="C173">
        <v>323</v>
      </c>
      <c r="D173">
        <v>0</v>
      </c>
      <c r="E173">
        <f t="shared" si="12"/>
        <v>11</v>
      </c>
      <c r="F173">
        <v>0</v>
      </c>
      <c r="G173" t="b">
        <f t="shared" si="13"/>
        <v>1</v>
      </c>
      <c r="H173" t="str">
        <f t="shared" si="14"/>
        <v>TURN_323_405_323</v>
      </c>
      <c r="I173" t="e">
        <f t="shared" ca="1" si="15"/>
        <v>#REF!</v>
      </c>
      <c r="J173">
        <f t="shared" ca="1" si="16"/>
        <v>0</v>
      </c>
      <c r="K173" t="str">
        <f t="shared" ca="1" si="17"/>
        <v>323,405,323,TURN_323_405_323,0</v>
      </c>
    </row>
    <row r="174" spans="1:11" x14ac:dyDescent="0.25">
      <c r="A174">
        <v>323</v>
      </c>
      <c r="B174">
        <v>405</v>
      </c>
      <c r="C174">
        <v>514</v>
      </c>
      <c r="D174">
        <v>0</v>
      </c>
      <c r="E174">
        <f t="shared" si="12"/>
        <v>11</v>
      </c>
      <c r="G174" t="b">
        <f t="shared" si="13"/>
        <v>0</v>
      </c>
      <c r="H174" t="str">
        <f t="shared" si="14"/>
        <v>TURN_323_405_514</v>
      </c>
      <c r="I174">
        <f t="shared" ca="1" si="15"/>
        <v>500</v>
      </c>
      <c r="J174">
        <f t="shared" ca="1" si="16"/>
        <v>500</v>
      </c>
      <c r="K174" t="str">
        <f t="shared" ca="1" si="17"/>
        <v>323,405,514,TURN_323_405_514,500</v>
      </c>
    </row>
    <row r="175" spans="1:11" x14ac:dyDescent="0.25">
      <c r="A175">
        <v>323</v>
      </c>
      <c r="B175">
        <v>510</v>
      </c>
      <c r="C175">
        <v>323</v>
      </c>
      <c r="D175">
        <v>0</v>
      </c>
      <c r="E175">
        <f t="shared" si="12"/>
        <v>5</v>
      </c>
      <c r="F175">
        <v>0</v>
      </c>
      <c r="G175" t="b">
        <f t="shared" si="13"/>
        <v>1</v>
      </c>
      <c r="H175" t="str">
        <f t="shared" si="14"/>
        <v>TURN_323_510_323</v>
      </c>
      <c r="I175" t="e">
        <f t="shared" ca="1" si="15"/>
        <v>#REF!</v>
      </c>
      <c r="J175">
        <f t="shared" ca="1" si="16"/>
        <v>0</v>
      </c>
      <c r="K175" t="str">
        <f t="shared" ca="1" si="17"/>
        <v>323,510,323,TURN_323_510_323,0</v>
      </c>
    </row>
    <row r="176" spans="1:11" x14ac:dyDescent="0.25">
      <c r="A176">
        <v>323</v>
      </c>
      <c r="B176">
        <v>510</v>
      </c>
      <c r="C176">
        <v>505</v>
      </c>
      <c r="D176">
        <v>0</v>
      </c>
      <c r="E176">
        <f t="shared" si="12"/>
        <v>5</v>
      </c>
      <c r="G176" t="b">
        <f t="shared" si="13"/>
        <v>0</v>
      </c>
      <c r="H176" t="str">
        <f t="shared" si="14"/>
        <v>TURN_323_510_505</v>
      </c>
      <c r="I176">
        <f t="shared" ca="1" si="15"/>
        <v>800</v>
      </c>
      <c r="J176">
        <f t="shared" ca="1" si="16"/>
        <v>800</v>
      </c>
      <c r="K176" t="str">
        <f t="shared" ca="1" si="17"/>
        <v>323,510,505,TURN_323_510_505,800</v>
      </c>
    </row>
    <row r="177" spans="1:11" x14ac:dyDescent="0.25">
      <c r="A177">
        <v>323</v>
      </c>
      <c r="B177">
        <v>510</v>
      </c>
      <c r="C177">
        <v>509</v>
      </c>
      <c r="D177">
        <v>0</v>
      </c>
      <c r="E177">
        <f t="shared" si="12"/>
        <v>5</v>
      </c>
      <c r="G177" t="b">
        <f t="shared" si="13"/>
        <v>0</v>
      </c>
      <c r="H177" t="str">
        <f t="shared" si="14"/>
        <v>TURN_323_510_509</v>
      </c>
      <c r="I177">
        <f t="shared" ca="1" si="15"/>
        <v>250</v>
      </c>
      <c r="J177">
        <f t="shared" ca="1" si="16"/>
        <v>250</v>
      </c>
      <c r="K177" t="str">
        <f t="shared" ca="1" si="17"/>
        <v>323,510,509,TURN_323_510_509,250</v>
      </c>
    </row>
    <row r="178" spans="1:11" x14ac:dyDescent="0.25">
      <c r="A178">
        <v>323</v>
      </c>
      <c r="B178">
        <v>510</v>
      </c>
      <c r="C178">
        <v>511</v>
      </c>
      <c r="D178">
        <v>0</v>
      </c>
      <c r="E178">
        <f t="shared" si="12"/>
        <v>5</v>
      </c>
      <c r="G178" t="b">
        <f t="shared" si="13"/>
        <v>0</v>
      </c>
      <c r="H178" t="str">
        <f t="shared" si="14"/>
        <v>TURN_323_510_511</v>
      </c>
      <c r="I178">
        <f t="shared" ca="1" si="15"/>
        <v>50</v>
      </c>
      <c r="J178">
        <f t="shared" ca="1" si="16"/>
        <v>50</v>
      </c>
      <c r="K178" t="str">
        <f t="shared" ca="1" si="17"/>
        <v>323,510,511,TURN_323_510_511,50</v>
      </c>
    </row>
    <row r="179" spans="1:11" x14ac:dyDescent="0.25">
      <c r="A179">
        <v>510</v>
      </c>
      <c r="B179">
        <v>323</v>
      </c>
      <c r="C179">
        <v>324</v>
      </c>
      <c r="D179">
        <v>0</v>
      </c>
      <c r="E179">
        <f t="shared" si="12"/>
        <v>8</v>
      </c>
      <c r="G179" t="b">
        <f t="shared" si="13"/>
        <v>0</v>
      </c>
      <c r="H179" t="str">
        <f t="shared" si="14"/>
        <v>TURN_510_323_324</v>
      </c>
      <c r="I179">
        <f t="shared" ca="1" si="15"/>
        <v>150</v>
      </c>
      <c r="J179">
        <f t="shared" ca="1" si="16"/>
        <v>150</v>
      </c>
      <c r="K179" t="str">
        <f t="shared" ca="1" si="17"/>
        <v>510,323,324,TURN_510_323_324,150</v>
      </c>
    </row>
    <row r="180" spans="1:11" x14ac:dyDescent="0.25">
      <c r="A180">
        <v>510</v>
      </c>
      <c r="B180">
        <v>323</v>
      </c>
      <c r="C180">
        <v>405</v>
      </c>
      <c r="D180">
        <v>0</v>
      </c>
      <c r="E180">
        <f t="shared" si="12"/>
        <v>8</v>
      </c>
      <c r="G180" t="b">
        <f t="shared" si="13"/>
        <v>0</v>
      </c>
      <c r="H180" t="str">
        <f t="shared" si="14"/>
        <v>TURN_510_323_405</v>
      </c>
      <c r="I180">
        <f t="shared" ca="1" si="15"/>
        <v>800</v>
      </c>
      <c r="J180">
        <f t="shared" ca="1" si="16"/>
        <v>800</v>
      </c>
      <c r="K180" t="str">
        <f t="shared" ca="1" si="17"/>
        <v>510,323,405,TURN_510_323_405,800</v>
      </c>
    </row>
    <row r="181" spans="1:11" x14ac:dyDescent="0.25">
      <c r="A181">
        <v>510</v>
      </c>
      <c r="B181">
        <v>323</v>
      </c>
      <c r="C181">
        <v>510</v>
      </c>
      <c r="D181">
        <v>0</v>
      </c>
      <c r="E181">
        <f t="shared" si="12"/>
        <v>8</v>
      </c>
      <c r="F181">
        <v>0</v>
      </c>
      <c r="G181" t="b">
        <f t="shared" si="13"/>
        <v>1</v>
      </c>
      <c r="H181" t="str">
        <f t="shared" si="14"/>
        <v>TURN_510_323_510</v>
      </c>
      <c r="I181" t="e">
        <f t="shared" ca="1" si="15"/>
        <v>#REF!</v>
      </c>
      <c r="J181">
        <f t="shared" ca="1" si="16"/>
        <v>0</v>
      </c>
      <c r="K181" t="str">
        <f t="shared" ca="1" si="17"/>
        <v>510,323,510,TURN_510_323_510,0</v>
      </c>
    </row>
    <row r="182" spans="1:11" x14ac:dyDescent="0.25">
      <c r="A182">
        <v>510</v>
      </c>
      <c r="B182">
        <v>505</v>
      </c>
      <c r="C182">
        <v>510</v>
      </c>
      <c r="D182">
        <v>0</v>
      </c>
      <c r="E182">
        <f t="shared" si="12"/>
        <v>2</v>
      </c>
      <c r="F182">
        <v>0</v>
      </c>
      <c r="G182" t="b">
        <f t="shared" si="13"/>
        <v>1</v>
      </c>
      <c r="H182" t="str">
        <f t="shared" si="14"/>
        <v>TURN_510_505_510</v>
      </c>
      <c r="I182" t="e">
        <f t="shared" ca="1" si="15"/>
        <v>#REF!</v>
      </c>
      <c r="J182">
        <f t="shared" ca="1" si="16"/>
        <v>0</v>
      </c>
      <c r="K182" t="str">
        <f t="shared" ca="1" si="17"/>
        <v>510,505,510,TURN_510_505_510,0</v>
      </c>
    </row>
    <row r="183" spans="1:11" x14ac:dyDescent="0.25">
      <c r="A183">
        <v>510</v>
      </c>
      <c r="B183">
        <v>505</v>
      </c>
      <c r="C183">
        <v>501</v>
      </c>
      <c r="D183">
        <v>0</v>
      </c>
      <c r="E183">
        <f t="shared" si="12"/>
        <v>2</v>
      </c>
      <c r="G183" t="b">
        <f t="shared" si="13"/>
        <v>0</v>
      </c>
      <c r="H183" t="str">
        <f t="shared" si="14"/>
        <v>TURN_510_505_501</v>
      </c>
      <c r="I183">
        <f t="shared" ca="1" si="15"/>
        <v>1000</v>
      </c>
      <c r="J183">
        <f t="shared" ca="1" si="16"/>
        <v>1000</v>
      </c>
      <c r="K183" t="str">
        <f t="shared" ca="1" si="17"/>
        <v>510,505,501,TURN_510_505_501,1000</v>
      </c>
    </row>
    <row r="184" spans="1:11" x14ac:dyDescent="0.25">
      <c r="A184">
        <v>510</v>
      </c>
      <c r="B184">
        <v>505</v>
      </c>
      <c r="C184">
        <v>504</v>
      </c>
      <c r="D184">
        <v>0</v>
      </c>
      <c r="E184">
        <f t="shared" si="12"/>
        <v>2</v>
      </c>
      <c r="G184" t="b">
        <f t="shared" si="13"/>
        <v>0</v>
      </c>
      <c r="H184" t="str">
        <f t="shared" si="14"/>
        <v>TURN_510_505_504</v>
      </c>
      <c r="I184">
        <f t="shared" ca="1" si="15"/>
        <v>100</v>
      </c>
      <c r="J184">
        <f t="shared" ca="1" si="16"/>
        <v>100</v>
      </c>
      <c r="K184" t="str">
        <f t="shared" ca="1" si="17"/>
        <v>510,505,504,TURN_510_505_504,100</v>
      </c>
    </row>
    <row r="185" spans="1:11" x14ac:dyDescent="0.25">
      <c r="A185">
        <v>510</v>
      </c>
      <c r="B185">
        <v>505</v>
      </c>
      <c r="C185">
        <v>506</v>
      </c>
      <c r="D185">
        <v>0</v>
      </c>
      <c r="E185">
        <f t="shared" si="12"/>
        <v>2</v>
      </c>
      <c r="G185" t="b">
        <f t="shared" si="13"/>
        <v>0</v>
      </c>
      <c r="H185" t="str">
        <f t="shared" si="14"/>
        <v>TURN_510_505_506</v>
      </c>
      <c r="I185">
        <f t="shared" ca="1" si="15"/>
        <v>50</v>
      </c>
      <c r="J185">
        <f t="shared" ca="1" si="16"/>
        <v>50</v>
      </c>
      <c r="K185" t="str">
        <f t="shared" ca="1" si="17"/>
        <v>510,505,506,TURN_510_505_506,50</v>
      </c>
    </row>
    <row r="186" spans="1:11" x14ac:dyDescent="0.25">
      <c r="A186">
        <v>510</v>
      </c>
      <c r="B186">
        <v>509</v>
      </c>
      <c r="C186">
        <v>320</v>
      </c>
      <c r="D186">
        <v>0</v>
      </c>
      <c r="E186">
        <f t="shared" si="12"/>
        <v>4</v>
      </c>
      <c r="G186" t="b">
        <f t="shared" si="13"/>
        <v>0</v>
      </c>
      <c r="H186" t="str">
        <f t="shared" si="14"/>
        <v>TURN_510_509_320</v>
      </c>
      <c r="I186">
        <f t="shared" ca="1" si="15"/>
        <v>100</v>
      </c>
      <c r="J186">
        <f t="shared" ca="1" si="16"/>
        <v>100</v>
      </c>
      <c r="K186" t="str">
        <f t="shared" ca="1" si="17"/>
        <v>510,509,320,TURN_510_509_320,100</v>
      </c>
    </row>
    <row r="187" spans="1:11" x14ac:dyDescent="0.25">
      <c r="A187">
        <v>510</v>
      </c>
      <c r="B187">
        <v>509</v>
      </c>
      <c r="C187">
        <v>504</v>
      </c>
      <c r="D187">
        <v>0</v>
      </c>
      <c r="E187">
        <f t="shared" si="12"/>
        <v>4</v>
      </c>
      <c r="G187" t="b">
        <f t="shared" si="13"/>
        <v>0</v>
      </c>
      <c r="H187" t="str">
        <f t="shared" si="14"/>
        <v>TURN_510_509_504</v>
      </c>
      <c r="I187">
        <f t="shared" ca="1" si="15"/>
        <v>50</v>
      </c>
      <c r="J187">
        <f t="shared" ca="1" si="16"/>
        <v>50</v>
      </c>
      <c r="K187" t="str">
        <f t="shared" ca="1" si="17"/>
        <v>510,509,504,TURN_510_509_504,50</v>
      </c>
    </row>
    <row r="188" spans="1:11" x14ac:dyDescent="0.25">
      <c r="A188">
        <v>510</v>
      </c>
      <c r="B188">
        <v>509</v>
      </c>
      <c r="C188">
        <v>113</v>
      </c>
      <c r="D188">
        <v>0</v>
      </c>
      <c r="E188">
        <f t="shared" si="12"/>
        <v>4</v>
      </c>
      <c r="G188" t="b">
        <f t="shared" si="13"/>
        <v>0</v>
      </c>
      <c r="H188" t="str">
        <f t="shared" si="14"/>
        <v>TURN_510_509_113</v>
      </c>
      <c r="I188">
        <f t="shared" ca="1" si="15"/>
        <v>1000</v>
      </c>
      <c r="J188">
        <f t="shared" ca="1" si="16"/>
        <v>1000</v>
      </c>
      <c r="K188" t="str">
        <f t="shared" ca="1" si="17"/>
        <v>510,509,113,TURN_510_509_113,1000</v>
      </c>
    </row>
    <row r="189" spans="1:11" x14ac:dyDescent="0.25">
      <c r="A189">
        <v>510</v>
      </c>
      <c r="B189">
        <v>509</v>
      </c>
      <c r="C189">
        <v>510</v>
      </c>
      <c r="D189">
        <v>0</v>
      </c>
      <c r="E189">
        <f t="shared" si="12"/>
        <v>4</v>
      </c>
      <c r="F189">
        <v>0</v>
      </c>
      <c r="G189" t="b">
        <f t="shared" si="13"/>
        <v>1</v>
      </c>
      <c r="H189" t="str">
        <f t="shared" si="14"/>
        <v>TURN_510_509_510</v>
      </c>
      <c r="I189" t="e">
        <f t="shared" ca="1" si="15"/>
        <v>#REF!</v>
      </c>
      <c r="J189">
        <f t="shared" ca="1" si="16"/>
        <v>0</v>
      </c>
      <c r="K189" t="str">
        <f t="shared" ca="1" si="17"/>
        <v>510,509,510,TURN_510_509_510,0</v>
      </c>
    </row>
    <row r="190" spans="1:11" x14ac:dyDescent="0.25">
      <c r="A190">
        <v>510</v>
      </c>
      <c r="B190">
        <v>511</v>
      </c>
      <c r="C190">
        <v>326</v>
      </c>
      <c r="D190">
        <v>0</v>
      </c>
      <c r="E190">
        <f t="shared" si="12"/>
        <v>6</v>
      </c>
      <c r="G190" t="b">
        <f t="shared" si="13"/>
        <v>0</v>
      </c>
      <c r="H190" t="str">
        <f t="shared" si="14"/>
        <v>TURN_510_511_326</v>
      </c>
      <c r="I190">
        <f t="shared" ca="1" si="15"/>
        <v>100</v>
      </c>
      <c r="J190">
        <f t="shared" ca="1" si="16"/>
        <v>100</v>
      </c>
      <c r="K190" t="str">
        <f t="shared" ca="1" si="17"/>
        <v>510,511,326,TURN_510_511_326,100</v>
      </c>
    </row>
    <row r="191" spans="1:11" x14ac:dyDescent="0.25">
      <c r="A191">
        <v>510</v>
      </c>
      <c r="B191">
        <v>511</v>
      </c>
      <c r="C191">
        <v>506</v>
      </c>
      <c r="D191">
        <v>0</v>
      </c>
      <c r="E191">
        <f t="shared" si="12"/>
        <v>6</v>
      </c>
      <c r="G191" t="b">
        <f t="shared" si="13"/>
        <v>0</v>
      </c>
      <c r="H191" t="str">
        <f t="shared" si="14"/>
        <v>TURN_510_511_506</v>
      </c>
      <c r="I191">
        <f t="shared" ca="1" si="15"/>
        <v>300</v>
      </c>
      <c r="J191">
        <f t="shared" ca="1" si="16"/>
        <v>300</v>
      </c>
      <c r="K191" t="str">
        <f t="shared" ca="1" si="17"/>
        <v>510,511,506,TURN_510_511_506,300</v>
      </c>
    </row>
    <row r="192" spans="1:11" x14ac:dyDescent="0.25">
      <c r="A192">
        <v>510</v>
      </c>
      <c r="B192">
        <v>511</v>
      </c>
      <c r="C192">
        <v>510</v>
      </c>
      <c r="D192">
        <v>0</v>
      </c>
      <c r="E192">
        <f t="shared" si="12"/>
        <v>6</v>
      </c>
      <c r="F192">
        <v>0</v>
      </c>
      <c r="G192" t="b">
        <f t="shared" si="13"/>
        <v>1</v>
      </c>
      <c r="H192" t="str">
        <f t="shared" si="14"/>
        <v>TURN_510_511_510</v>
      </c>
      <c r="I192" t="e">
        <f t="shared" ca="1" si="15"/>
        <v>#REF!</v>
      </c>
      <c r="J192">
        <f t="shared" ca="1" si="16"/>
        <v>0</v>
      </c>
      <c r="K192" t="str">
        <f t="shared" ca="1" si="17"/>
        <v>510,511,510,TURN_510_511_510,0</v>
      </c>
    </row>
    <row r="193" spans="1:11" x14ac:dyDescent="0.25">
      <c r="A193">
        <v>510</v>
      </c>
      <c r="B193">
        <v>511</v>
      </c>
      <c r="C193">
        <v>512</v>
      </c>
      <c r="D193">
        <v>0</v>
      </c>
      <c r="E193">
        <f t="shared" si="12"/>
        <v>6</v>
      </c>
      <c r="G193" t="b">
        <f t="shared" si="13"/>
        <v>0</v>
      </c>
      <c r="H193" t="str">
        <f t="shared" si="14"/>
        <v>TURN_510_511_512</v>
      </c>
      <c r="I193">
        <f t="shared" ca="1" si="15"/>
        <v>1200</v>
      </c>
      <c r="J193">
        <f t="shared" ca="1" si="16"/>
        <v>1200</v>
      </c>
      <c r="K193" t="str">
        <f t="shared" ca="1" si="17"/>
        <v>510,511,512,TURN_510_511_512,1200</v>
      </c>
    </row>
    <row r="194" spans="1:11" hidden="1" x14ac:dyDescent="0.25">
      <c r="A194">
        <v>135</v>
      </c>
      <c r="B194">
        <v>136</v>
      </c>
      <c r="C194">
        <v>137</v>
      </c>
      <c r="D194">
        <v>0</v>
      </c>
      <c r="E194" t="e">
        <f t="shared" ref="E194:E257" si="18">MATCH(B194,$M$3:$M$18,0)</f>
        <v>#N/A</v>
      </c>
      <c r="G194" t="b">
        <f t="shared" ref="G194:G257" si="19">A194=C194</f>
        <v>0</v>
      </c>
      <c r="H194" t="str">
        <f t="shared" si="14"/>
        <v>TURN_135_136_137</v>
      </c>
      <c r="I194" t="e">
        <f t="shared" ca="1" si="15"/>
        <v>#REF!</v>
      </c>
      <c r="J194">
        <f t="shared" ca="1" si="16"/>
        <v>0</v>
      </c>
      <c r="K194" t="str">
        <f t="shared" ca="1" si="17"/>
        <v>135,136,137,TURN_135_136_137,0</v>
      </c>
    </row>
    <row r="195" spans="1:11" hidden="1" x14ac:dyDescent="0.25">
      <c r="A195">
        <v>410</v>
      </c>
      <c r="B195">
        <v>411</v>
      </c>
      <c r="C195">
        <v>119</v>
      </c>
      <c r="D195">
        <v>0</v>
      </c>
      <c r="E195" t="e">
        <f t="shared" si="18"/>
        <v>#N/A</v>
      </c>
      <c r="G195" t="b">
        <f t="shared" si="19"/>
        <v>0</v>
      </c>
      <c r="H195" t="str">
        <f t="shared" ref="H195:H258" si="20">"TURN_"&amp;A195&amp;"_"&amp;B195&amp;"_"&amp;C195</f>
        <v>TURN_410_411_119</v>
      </c>
      <c r="I195" t="e">
        <f t="shared" ref="I195:I258" ca="1" si="21">INDIRECT("targets!"&amp;H195)</f>
        <v>#REF!</v>
      </c>
      <c r="J195">
        <f t="shared" ref="J195:J258" ca="1" si="22">IFERROR(I195,0)</f>
        <v>0</v>
      </c>
      <c r="K195" t="str">
        <f t="shared" ref="K195:K258" ca="1" si="23">CONCATENATE(A195,",",B195,",",C195,",",H195,",",J195)</f>
        <v>410,411,119,TURN_410_411_119,0</v>
      </c>
    </row>
    <row r="196" spans="1:11" hidden="1" x14ac:dyDescent="0.25">
      <c r="A196">
        <v>410</v>
      </c>
      <c r="B196">
        <v>411</v>
      </c>
      <c r="C196">
        <v>412</v>
      </c>
      <c r="D196">
        <v>0</v>
      </c>
      <c r="E196" t="e">
        <f t="shared" si="18"/>
        <v>#N/A</v>
      </c>
      <c r="G196" t="b">
        <f t="shared" si="19"/>
        <v>0</v>
      </c>
      <c r="H196" t="str">
        <f t="shared" si="20"/>
        <v>TURN_410_411_412</v>
      </c>
      <c r="I196" t="e">
        <f t="shared" ca="1" si="21"/>
        <v>#REF!</v>
      </c>
      <c r="J196">
        <f t="shared" ca="1" si="22"/>
        <v>0</v>
      </c>
      <c r="K196" t="str">
        <f t="shared" ca="1" si="23"/>
        <v>410,411,412,TURN_410_411_412,0</v>
      </c>
    </row>
    <row r="197" spans="1:11" hidden="1" x14ac:dyDescent="0.25">
      <c r="A197">
        <v>410</v>
      </c>
      <c r="B197">
        <v>415</v>
      </c>
      <c r="C197">
        <v>416</v>
      </c>
      <c r="D197">
        <v>0</v>
      </c>
      <c r="E197" t="e">
        <f t="shared" si="18"/>
        <v>#N/A</v>
      </c>
      <c r="G197" t="b">
        <f t="shared" si="19"/>
        <v>0</v>
      </c>
      <c r="H197" t="str">
        <f t="shared" si="20"/>
        <v>TURN_410_415_416</v>
      </c>
      <c r="I197" t="e">
        <f t="shared" ca="1" si="21"/>
        <v>#REF!</v>
      </c>
      <c r="J197">
        <f t="shared" ca="1" si="22"/>
        <v>0</v>
      </c>
      <c r="K197" t="str">
        <f t="shared" ca="1" si="23"/>
        <v>410,415,416,TURN_410_415_416,0</v>
      </c>
    </row>
    <row r="198" spans="1:11" hidden="1" x14ac:dyDescent="0.25">
      <c r="A198">
        <v>124</v>
      </c>
      <c r="B198">
        <v>125</v>
      </c>
      <c r="C198">
        <v>126</v>
      </c>
      <c r="D198">
        <v>0</v>
      </c>
      <c r="E198" t="e">
        <f t="shared" si="18"/>
        <v>#N/A</v>
      </c>
      <c r="G198" t="b">
        <f t="shared" si="19"/>
        <v>0</v>
      </c>
      <c r="H198" t="str">
        <f t="shared" si="20"/>
        <v>TURN_124_125_126</v>
      </c>
      <c r="I198" t="e">
        <f t="shared" ca="1" si="21"/>
        <v>#REF!</v>
      </c>
      <c r="J198">
        <f t="shared" ca="1" si="22"/>
        <v>0</v>
      </c>
      <c r="K198" t="str">
        <f t="shared" ca="1" si="23"/>
        <v>124,125,126,TURN_124_125_126,0</v>
      </c>
    </row>
    <row r="199" spans="1:11" hidden="1" x14ac:dyDescent="0.25">
      <c r="A199">
        <v>124</v>
      </c>
      <c r="B199">
        <v>125</v>
      </c>
      <c r="C199">
        <v>128</v>
      </c>
      <c r="D199">
        <v>0</v>
      </c>
      <c r="E199" t="e">
        <f t="shared" si="18"/>
        <v>#N/A</v>
      </c>
      <c r="G199" t="b">
        <f t="shared" si="19"/>
        <v>0</v>
      </c>
      <c r="H199" t="str">
        <f t="shared" si="20"/>
        <v>TURN_124_125_128</v>
      </c>
      <c r="I199" t="e">
        <f t="shared" ca="1" si="21"/>
        <v>#REF!</v>
      </c>
      <c r="J199">
        <f t="shared" ca="1" si="22"/>
        <v>0</v>
      </c>
      <c r="K199" t="str">
        <f t="shared" ca="1" si="23"/>
        <v>124,125,128,TURN_124_125_128,0</v>
      </c>
    </row>
    <row r="200" spans="1:11" hidden="1" x14ac:dyDescent="0.25">
      <c r="A200">
        <v>415</v>
      </c>
      <c r="B200">
        <v>416</v>
      </c>
      <c r="C200">
        <v>419</v>
      </c>
      <c r="D200">
        <v>0</v>
      </c>
      <c r="E200" t="e">
        <f t="shared" si="18"/>
        <v>#N/A</v>
      </c>
      <c r="G200" t="b">
        <f t="shared" si="19"/>
        <v>0</v>
      </c>
      <c r="H200" t="str">
        <f t="shared" si="20"/>
        <v>TURN_415_416_419</v>
      </c>
      <c r="I200" t="e">
        <f t="shared" ca="1" si="21"/>
        <v>#REF!</v>
      </c>
      <c r="J200">
        <f t="shared" ca="1" si="22"/>
        <v>0</v>
      </c>
      <c r="K200" t="str">
        <f t="shared" ca="1" si="23"/>
        <v>415,416,419,TURN_415_416_419,0</v>
      </c>
    </row>
    <row r="201" spans="1:11" hidden="1" x14ac:dyDescent="0.25">
      <c r="A201">
        <v>415</v>
      </c>
      <c r="B201">
        <v>416</v>
      </c>
      <c r="C201">
        <v>417</v>
      </c>
      <c r="D201">
        <v>0</v>
      </c>
      <c r="E201" t="e">
        <f t="shared" si="18"/>
        <v>#N/A</v>
      </c>
      <c r="G201" t="b">
        <f t="shared" si="19"/>
        <v>0</v>
      </c>
      <c r="H201" t="str">
        <f t="shared" si="20"/>
        <v>TURN_415_416_417</v>
      </c>
      <c r="I201" t="e">
        <f t="shared" ca="1" si="21"/>
        <v>#REF!</v>
      </c>
      <c r="J201">
        <f t="shared" ca="1" si="22"/>
        <v>0</v>
      </c>
      <c r="K201" t="str">
        <f t="shared" ca="1" si="23"/>
        <v>415,416,417,TURN_415_416_417,0</v>
      </c>
    </row>
    <row r="202" spans="1:11" hidden="1" x14ac:dyDescent="0.25">
      <c r="A202">
        <v>416</v>
      </c>
      <c r="B202">
        <v>419</v>
      </c>
      <c r="C202">
        <v>420</v>
      </c>
      <c r="D202">
        <v>0</v>
      </c>
      <c r="E202" t="e">
        <f t="shared" si="18"/>
        <v>#N/A</v>
      </c>
      <c r="G202" t="b">
        <f t="shared" si="19"/>
        <v>0</v>
      </c>
      <c r="H202" t="str">
        <f t="shared" si="20"/>
        <v>TURN_416_419_420</v>
      </c>
      <c r="I202" t="e">
        <f t="shared" ca="1" si="21"/>
        <v>#REF!</v>
      </c>
      <c r="J202">
        <f t="shared" ca="1" si="22"/>
        <v>0</v>
      </c>
      <c r="K202" t="str">
        <f t="shared" ca="1" si="23"/>
        <v>416,419,420,TURN_416_419_420,0</v>
      </c>
    </row>
    <row r="203" spans="1:11" hidden="1" x14ac:dyDescent="0.25">
      <c r="A203">
        <v>120</v>
      </c>
      <c r="B203">
        <v>121</v>
      </c>
      <c r="C203">
        <v>122</v>
      </c>
      <c r="D203">
        <v>0</v>
      </c>
      <c r="E203" t="e">
        <f t="shared" si="18"/>
        <v>#N/A</v>
      </c>
      <c r="G203" t="b">
        <f t="shared" si="19"/>
        <v>0</v>
      </c>
      <c r="H203" t="str">
        <f t="shared" si="20"/>
        <v>TURN_120_121_122</v>
      </c>
      <c r="I203" t="e">
        <f t="shared" ca="1" si="21"/>
        <v>#REF!</v>
      </c>
      <c r="J203">
        <f t="shared" ca="1" si="22"/>
        <v>0</v>
      </c>
      <c r="K203" t="str">
        <f t="shared" ca="1" si="23"/>
        <v>120,121,122,TURN_120_121_122,0</v>
      </c>
    </row>
    <row r="204" spans="1:11" hidden="1" x14ac:dyDescent="0.25">
      <c r="A204">
        <v>120</v>
      </c>
      <c r="B204">
        <v>121</v>
      </c>
      <c r="C204">
        <v>124</v>
      </c>
      <c r="D204">
        <v>0</v>
      </c>
      <c r="E204" t="e">
        <f t="shared" si="18"/>
        <v>#N/A</v>
      </c>
      <c r="G204" t="b">
        <f t="shared" si="19"/>
        <v>0</v>
      </c>
      <c r="H204" t="str">
        <f t="shared" si="20"/>
        <v>TURN_120_121_124</v>
      </c>
      <c r="I204" t="e">
        <f t="shared" ca="1" si="21"/>
        <v>#REF!</v>
      </c>
      <c r="J204">
        <f t="shared" ca="1" si="22"/>
        <v>0</v>
      </c>
      <c r="K204" t="str">
        <f t="shared" ca="1" si="23"/>
        <v>120,121,124,TURN_120_121_124,0</v>
      </c>
    </row>
    <row r="205" spans="1:11" hidden="1" x14ac:dyDescent="0.25">
      <c r="A205">
        <v>123</v>
      </c>
      <c r="B205">
        <v>124</v>
      </c>
      <c r="C205">
        <v>125</v>
      </c>
      <c r="D205">
        <v>0</v>
      </c>
      <c r="E205" t="e">
        <f t="shared" si="18"/>
        <v>#N/A</v>
      </c>
      <c r="G205" t="b">
        <f t="shared" si="19"/>
        <v>0</v>
      </c>
      <c r="H205" t="str">
        <f t="shared" si="20"/>
        <v>TURN_123_124_125</v>
      </c>
      <c r="I205" t="e">
        <f t="shared" ca="1" si="21"/>
        <v>#REF!</v>
      </c>
      <c r="J205">
        <f t="shared" ca="1" si="22"/>
        <v>0</v>
      </c>
      <c r="K205" t="str">
        <f t="shared" ca="1" si="23"/>
        <v>123,124,125,TURN_123_124_125,0</v>
      </c>
    </row>
    <row r="206" spans="1:11" hidden="1" x14ac:dyDescent="0.25">
      <c r="A206">
        <v>121</v>
      </c>
      <c r="B206">
        <v>124</v>
      </c>
      <c r="C206">
        <v>125</v>
      </c>
      <c r="D206">
        <v>0</v>
      </c>
      <c r="E206" t="e">
        <f t="shared" si="18"/>
        <v>#N/A</v>
      </c>
      <c r="G206" t="b">
        <f t="shared" si="19"/>
        <v>0</v>
      </c>
      <c r="H206" t="str">
        <f t="shared" si="20"/>
        <v>TURN_121_124_125</v>
      </c>
      <c r="I206" t="e">
        <f t="shared" ca="1" si="21"/>
        <v>#REF!</v>
      </c>
      <c r="J206">
        <f t="shared" ca="1" si="22"/>
        <v>0</v>
      </c>
      <c r="K206" t="str">
        <f t="shared" ca="1" si="23"/>
        <v>121,124,125,TURN_121_124_125,0</v>
      </c>
    </row>
    <row r="207" spans="1:11" hidden="1" x14ac:dyDescent="0.25">
      <c r="A207">
        <v>217</v>
      </c>
      <c r="B207">
        <v>218</v>
      </c>
      <c r="C207">
        <v>414</v>
      </c>
      <c r="D207">
        <v>0</v>
      </c>
      <c r="E207" t="e">
        <f t="shared" si="18"/>
        <v>#N/A</v>
      </c>
      <c r="G207" t="b">
        <f t="shared" si="19"/>
        <v>0</v>
      </c>
      <c r="H207" t="str">
        <f t="shared" si="20"/>
        <v>TURN_217_218_414</v>
      </c>
      <c r="I207" t="e">
        <f t="shared" ca="1" si="21"/>
        <v>#REF!</v>
      </c>
      <c r="J207">
        <f t="shared" ca="1" si="22"/>
        <v>0</v>
      </c>
      <c r="K207" t="str">
        <f t="shared" ca="1" si="23"/>
        <v>217,218,414,TURN_217_218_414,0</v>
      </c>
    </row>
    <row r="208" spans="1:11" hidden="1" x14ac:dyDescent="0.25">
      <c r="A208">
        <v>217</v>
      </c>
      <c r="B208">
        <v>218</v>
      </c>
      <c r="C208">
        <v>219</v>
      </c>
      <c r="D208">
        <v>0</v>
      </c>
      <c r="E208" t="e">
        <f t="shared" si="18"/>
        <v>#N/A</v>
      </c>
      <c r="G208" t="b">
        <f t="shared" si="19"/>
        <v>0</v>
      </c>
      <c r="H208" t="str">
        <f t="shared" si="20"/>
        <v>TURN_217_218_219</v>
      </c>
      <c r="I208" t="e">
        <f t="shared" ca="1" si="21"/>
        <v>#REF!</v>
      </c>
      <c r="J208">
        <f t="shared" ca="1" si="22"/>
        <v>0</v>
      </c>
      <c r="K208" t="str">
        <f t="shared" ca="1" si="23"/>
        <v>217,218,219,TURN_217_218_219,0</v>
      </c>
    </row>
    <row r="209" spans="1:11" hidden="1" x14ac:dyDescent="0.25">
      <c r="A209">
        <v>217</v>
      </c>
      <c r="B209">
        <v>222</v>
      </c>
      <c r="C209">
        <v>223</v>
      </c>
      <c r="D209">
        <v>0</v>
      </c>
      <c r="E209" t="e">
        <f t="shared" si="18"/>
        <v>#N/A</v>
      </c>
      <c r="G209" t="b">
        <f t="shared" si="19"/>
        <v>0</v>
      </c>
      <c r="H209" t="str">
        <f t="shared" si="20"/>
        <v>TURN_217_222_223</v>
      </c>
      <c r="I209" t="e">
        <f t="shared" ca="1" si="21"/>
        <v>#REF!</v>
      </c>
      <c r="J209">
        <f t="shared" ca="1" si="22"/>
        <v>0</v>
      </c>
      <c r="K209" t="str">
        <f t="shared" ca="1" si="23"/>
        <v>217,222,223,TURN_217_222_223,0</v>
      </c>
    </row>
    <row r="210" spans="1:11" hidden="1" x14ac:dyDescent="0.25">
      <c r="A210">
        <v>222</v>
      </c>
      <c r="B210">
        <v>223</v>
      </c>
      <c r="C210">
        <v>224</v>
      </c>
      <c r="D210">
        <v>0</v>
      </c>
      <c r="E210" t="e">
        <f t="shared" si="18"/>
        <v>#N/A</v>
      </c>
      <c r="G210" t="b">
        <f t="shared" si="19"/>
        <v>0</v>
      </c>
      <c r="H210" t="str">
        <f t="shared" si="20"/>
        <v>TURN_222_223_224</v>
      </c>
      <c r="I210" t="e">
        <f t="shared" ca="1" si="21"/>
        <v>#REF!</v>
      </c>
      <c r="J210">
        <f t="shared" ca="1" si="22"/>
        <v>0</v>
      </c>
      <c r="K210" t="str">
        <f t="shared" ca="1" si="23"/>
        <v>222,223,224,TURN_222_223_224,0</v>
      </c>
    </row>
    <row r="211" spans="1:11" hidden="1" x14ac:dyDescent="0.25">
      <c r="A211">
        <v>222</v>
      </c>
      <c r="B211">
        <v>223</v>
      </c>
      <c r="C211">
        <v>225</v>
      </c>
      <c r="D211">
        <v>0</v>
      </c>
      <c r="E211" t="e">
        <f t="shared" si="18"/>
        <v>#N/A</v>
      </c>
      <c r="G211" t="b">
        <f t="shared" si="19"/>
        <v>0</v>
      </c>
      <c r="H211" t="str">
        <f t="shared" si="20"/>
        <v>TURN_222_223_225</v>
      </c>
      <c r="I211" t="e">
        <f t="shared" ca="1" si="21"/>
        <v>#REF!</v>
      </c>
      <c r="J211">
        <f t="shared" ca="1" si="22"/>
        <v>0</v>
      </c>
      <c r="K211" t="str">
        <f t="shared" ca="1" si="23"/>
        <v>222,223,225,TURN_222_223_225,0</v>
      </c>
    </row>
    <row r="212" spans="1:11" hidden="1" x14ac:dyDescent="0.25">
      <c r="A212">
        <v>115</v>
      </c>
      <c r="B212">
        <v>116</v>
      </c>
      <c r="C212">
        <v>317</v>
      </c>
      <c r="D212">
        <v>0</v>
      </c>
      <c r="E212" t="e">
        <f t="shared" si="18"/>
        <v>#N/A</v>
      </c>
      <c r="G212" t="b">
        <f t="shared" si="19"/>
        <v>0</v>
      </c>
      <c r="H212" t="str">
        <f t="shared" si="20"/>
        <v>TURN_115_116_317</v>
      </c>
      <c r="I212" t="e">
        <f t="shared" ca="1" si="21"/>
        <v>#REF!</v>
      </c>
      <c r="J212">
        <f t="shared" ca="1" si="22"/>
        <v>0</v>
      </c>
      <c r="K212" t="str">
        <f t="shared" ca="1" si="23"/>
        <v>115,116,317,TURN_115_116_317,0</v>
      </c>
    </row>
    <row r="213" spans="1:11" hidden="1" x14ac:dyDescent="0.25">
      <c r="A213">
        <v>115</v>
      </c>
      <c r="B213">
        <v>116</v>
      </c>
      <c r="C213">
        <v>117</v>
      </c>
      <c r="D213">
        <v>0</v>
      </c>
      <c r="E213" t="e">
        <f t="shared" si="18"/>
        <v>#N/A</v>
      </c>
      <c r="G213" t="b">
        <f t="shared" si="19"/>
        <v>0</v>
      </c>
      <c r="H213" t="str">
        <f t="shared" si="20"/>
        <v>TURN_115_116_117</v>
      </c>
      <c r="I213" t="e">
        <f t="shared" ca="1" si="21"/>
        <v>#REF!</v>
      </c>
      <c r="J213">
        <f t="shared" ca="1" si="22"/>
        <v>0</v>
      </c>
      <c r="K213" t="str">
        <f t="shared" ca="1" si="23"/>
        <v>115,116,117,TURN_115_116_117,0</v>
      </c>
    </row>
    <row r="214" spans="1:11" hidden="1" x14ac:dyDescent="0.25">
      <c r="A214">
        <v>115</v>
      </c>
      <c r="B214">
        <v>120</v>
      </c>
      <c r="C214">
        <v>121</v>
      </c>
      <c r="D214">
        <v>0</v>
      </c>
      <c r="E214" t="e">
        <f t="shared" si="18"/>
        <v>#N/A</v>
      </c>
      <c r="G214" t="b">
        <f t="shared" si="19"/>
        <v>0</v>
      </c>
      <c r="H214" t="str">
        <f t="shared" si="20"/>
        <v>TURN_115_120_121</v>
      </c>
      <c r="I214" t="e">
        <f t="shared" ca="1" si="21"/>
        <v>#REF!</v>
      </c>
      <c r="J214">
        <f t="shared" ca="1" si="22"/>
        <v>0</v>
      </c>
      <c r="K214" t="str">
        <f t="shared" ca="1" si="23"/>
        <v>115,120,121,TURN_115_120_121,0</v>
      </c>
    </row>
    <row r="215" spans="1:11" hidden="1" x14ac:dyDescent="0.25">
      <c r="A215">
        <v>125</v>
      </c>
      <c r="B215">
        <v>128</v>
      </c>
      <c r="C215">
        <v>129</v>
      </c>
      <c r="D215">
        <v>0</v>
      </c>
      <c r="E215" t="e">
        <f t="shared" si="18"/>
        <v>#N/A</v>
      </c>
      <c r="G215" t="b">
        <f t="shared" si="19"/>
        <v>0</v>
      </c>
      <c r="H215" t="str">
        <f t="shared" si="20"/>
        <v>TURN_125_128_129</v>
      </c>
      <c r="I215" t="e">
        <f t="shared" ca="1" si="21"/>
        <v>#REF!</v>
      </c>
      <c r="J215">
        <f t="shared" ca="1" si="22"/>
        <v>0</v>
      </c>
      <c r="K215" t="str">
        <f t="shared" ca="1" si="23"/>
        <v>125,128,129,TURN_125_128_129,0</v>
      </c>
    </row>
    <row r="216" spans="1:11" hidden="1" x14ac:dyDescent="0.25">
      <c r="A216">
        <v>412</v>
      </c>
      <c r="B216">
        <v>220</v>
      </c>
      <c r="C216">
        <v>221</v>
      </c>
      <c r="D216">
        <v>0</v>
      </c>
      <c r="E216" t="e">
        <f t="shared" si="18"/>
        <v>#N/A</v>
      </c>
      <c r="G216" t="b">
        <f t="shared" si="19"/>
        <v>0</v>
      </c>
      <c r="H216" t="str">
        <f t="shared" si="20"/>
        <v>TURN_412_220_221</v>
      </c>
      <c r="I216" t="e">
        <f t="shared" ca="1" si="21"/>
        <v>#REF!</v>
      </c>
      <c r="J216">
        <f t="shared" ca="1" si="22"/>
        <v>0</v>
      </c>
      <c r="K216" t="str">
        <f t="shared" ca="1" si="23"/>
        <v>412,220,221,TURN_412_220_221,0</v>
      </c>
    </row>
    <row r="217" spans="1:11" hidden="1" x14ac:dyDescent="0.25">
      <c r="A217">
        <v>412</v>
      </c>
      <c r="B217">
        <v>413</v>
      </c>
      <c r="C217">
        <v>414</v>
      </c>
      <c r="D217">
        <v>0</v>
      </c>
      <c r="E217" t="e">
        <f t="shared" si="18"/>
        <v>#N/A</v>
      </c>
      <c r="G217" t="b">
        <f t="shared" si="19"/>
        <v>0</v>
      </c>
      <c r="H217" t="str">
        <f t="shared" si="20"/>
        <v>TURN_412_413_414</v>
      </c>
      <c r="I217" t="e">
        <f t="shared" ca="1" si="21"/>
        <v>#REF!</v>
      </c>
      <c r="J217">
        <f t="shared" ca="1" si="22"/>
        <v>0</v>
      </c>
      <c r="K217" t="str">
        <f t="shared" ca="1" si="23"/>
        <v>412,413,414,TURN_412_413_414,0</v>
      </c>
    </row>
    <row r="218" spans="1:11" hidden="1" x14ac:dyDescent="0.25">
      <c r="A218">
        <v>317</v>
      </c>
      <c r="B218">
        <v>318</v>
      </c>
      <c r="C218">
        <v>319</v>
      </c>
      <c r="D218">
        <v>0</v>
      </c>
      <c r="E218" t="e">
        <f t="shared" si="18"/>
        <v>#N/A</v>
      </c>
      <c r="G218" t="b">
        <f t="shared" si="19"/>
        <v>0</v>
      </c>
      <c r="H218" t="str">
        <f t="shared" si="20"/>
        <v>TURN_317_318_319</v>
      </c>
      <c r="I218" t="e">
        <f t="shared" ca="1" si="21"/>
        <v>#REF!</v>
      </c>
      <c r="J218">
        <f t="shared" ca="1" si="22"/>
        <v>0</v>
      </c>
      <c r="K218" t="str">
        <f t="shared" ca="1" si="23"/>
        <v>317,318,319,TURN_317_318_319,0</v>
      </c>
    </row>
    <row r="219" spans="1:11" hidden="1" x14ac:dyDescent="0.25">
      <c r="A219">
        <v>411</v>
      </c>
      <c r="B219">
        <v>119</v>
      </c>
      <c r="C219">
        <v>120</v>
      </c>
      <c r="D219">
        <v>0</v>
      </c>
      <c r="E219" t="e">
        <f t="shared" si="18"/>
        <v>#N/A</v>
      </c>
      <c r="G219" t="b">
        <f t="shared" si="19"/>
        <v>0</v>
      </c>
      <c r="H219" t="str">
        <f t="shared" si="20"/>
        <v>TURN_411_119_120</v>
      </c>
      <c r="I219" t="e">
        <f t="shared" ca="1" si="21"/>
        <v>#REF!</v>
      </c>
      <c r="J219">
        <f t="shared" ca="1" si="22"/>
        <v>0</v>
      </c>
      <c r="K219" t="str">
        <f t="shared" ca="1" si="23"/>
        <v>411,119,120,TURN_411_119_120,0</v>
      </c>
    </row>
    <row r="220" spans="1:11" hidden="1" x14ac:dyDescent="0.25">
      <c r="A220">
        <v>411</v>
      </c>
      <c r="B220">
        <v>412</v>
      </c>
      <c r="C220">
        <v>220</v>
      </c>
      <c r="D220">
        <v>0</v>
      </c>
      <c r="E220" t="e">
        <f t="shared" si="18"/>
        <v>#N/A</v>
      </c>
      <c r="G220" t="b">
        <f t="shared" si="19"/>
        <v>0</v>
      </c>
      <c r="H220" t="str">
        <f t="shared" si="20"/>
        <v>TURN_411_412_220</v>
      </c>
      <c r="I220" t="e">
        <f t="shared" ca="1" si="21"/>
        <v>#REF!</v>
      </c>
      <c r="J220">
        <f t="shared" ca="1" si="22"/>
        <v>0</v>
      </c>
      <c r="K220" t="str">
        <f t="shared" ca="1" si="23"/>
        <v>411,412,220,TURN_411_412_220,0</v>
      </c>
    </row>
    <row r="221" spans="1:11" hidden="1" x14ac:dyDescent="0.25">
      <c r="A221">
        <v>411</v>
      </c>
      <c r="B221">
        <v>412</v>
      </c>
      <c r="C221">
        <v>413</v>
      </c>
      <c r="D221">
        <v>0</v>
      </c>
      <c r="E221" t="e">
        <f t="shared" si="18"/>
        <v>#N/A</v>
      </c>
      <c r="G221" t="b">
        <f t="shared" si="19"/>
        <v>0</v>
      </c>
      <c r="H221" t="str">
        <f t="shared" si="20"/>
        <v>TURN_411_412_413</v>
      </c>
      <c r="I221" t="e">
        <f t="shared" ca="1" si="21"/>
        <v>#REF!</v>
      </c>
      <c r="J221">
        <f t="shared" ca="1" si="22"/>
        <v>0</v>
      </c>
      <c r="K221" t="str">
        <f t="shared" ca="1" si="23"/>
        <v>411,412,413,TURN_411_412_413,0</v>
      </c>
    </row>
    <row r="222" spans="1:11" hidden="1" x14ac:dyDescent="0.25">
      <c r="A222">
        <v>414</v>
      </c>
      <c r="B222">
        <v>415</v>
      </c>
      <c r="C222">
        <v>416</v>
      </c>
      <c r="D222">
        <v>0</v>
      </c>
      <c r="E222" t="e">
        <f t="shared" si="18"/>
        <v>#N/A</v>
      </c>
      <c r="G222" t="b">
        <f t="shared" si="19"/>
        <v>0</v>
      </c>
      <c r="H222" t="str">
        <f t="shared" si="20"/>
        <v>TURN_414_415_416</v>
      </c>
      <c r="I222" t="e">
        <f t="shared" ca="1" si="21"/>
        <v>#REF!</v>
      </c>
      <c r="J222">
        <f t="shared" ca="1" si="22"/>
        <v>0</v>
      </c>
      <c r="K222" t="str">
        <f t="shared" ca="1" si="23"/>
        <v>414,415,416,TURN_414_415_416,0</v>
      </c>
    </row>
    <row r="223" spans="1:11" hidden="1" x14ac:dyDescent="0.25">
      <c r="A223">
        <v>108</v>
      </c>
      <c r="B223">
        <v>109</v>
      </c>
      <c r="C223">
        <v>110</v>
      </c>
      <c r="D223">
        <v>0</v>
      </c>
      <c r="E223" t="e">
        <f t="shared" si="18"/>
        <v>#N/A</v>
      </c>
      <c r="G223" t="b">
        <f t="shared" si="19"/>
        <v>0</v>
      </c>
      <c r="H223" t="str">
        <f t="shared" si="20"/>
        <v>TURN_108_109_110</v>
      </c>
      <c r="I223" t="e">
        <f t="shared" ca="1" si="21"/>
        <v>#REF!</v>
      </c>
      <c r="J223">
        <f t="shared" ca="1" si="22"/>
        <v>0</v>
      </c>
      <c r="K223" t="str">
        <f t="shared" ca="1" si="23"/>
        <v>108,109,110,TURN_108_109_110,0</v>
      </c>
    </row>
    <row r="224" spans="1:11" hidden="1" x14ac:dyDescent="0.25">
      <c r="A224">
        <v>108</v>
      </c>
      <c r="B224">
        <v>109</v>
      </c>
      <c r="C224">
        <v>111</v>
      </c>
      <c r="D224">
        <v>0</v>
      </c>
      <c r="E224" t="e">
        <f t="shared" si="18"/>
        <v>#N/A</v>
      </c>
      <c r="G224" t="b">
        <f t="shared" si="19"/>
        <v>0</v>
      </c>
      <c r="H224" t="str">
        <f t="shared" si="20"/>
        <v>TURN_108_109_111</v>
      </c>
      <c r="I224" t="e">
        <f t="shared" ca="1" si="21"/>
        <v>#REF!</v>
      </c>
      <c r="J224">
        <f t="shared" ca="1" si="22"/>
        <v>0</v>
      </c>
      <c r="K224" t="str">
        <f t="shared" ca="1" si="23"/>
        <v>108,109,111,TURN_108_109_111,0</v>
      </c>
    </row>
    <row r="225" spans="1:11" hidden="1" x14ac:dyDescent="0.25">
      <c r="A225">
        <v>316</v>
      </c>
      <c r="B225">
        <v>317</v>
      </c>
      <c r="C225">
        <v>318</v>
      </c>
      <c r="D225">
        <v>0</v>
      </c>
      <c r="E225" t="e">
        <f t="shared" si="18"/>
        <v>#N/A</v>
      </c>
      <c r="G225" t="b">
        <f t="shared" si="19"/>
        <v>0</v>
      </c>
      <c r="H225" t="str">
        <f t="shared" si="20"/>
        <v>TURN_316_317_318</v>
      </c>
      <c r="I225" t="e">
        <f t="shared" ca="1" si="21"/>
        <v>#REF!</v>
      </c>
      <c r="J225">
        <f t="shared" ca="1" si="22"/>
        <v>0</v>
      </c>
      <c r="K225" t="str">
        <f t="shared" ca="1" si="23"/>
        <v>316,317,318,TURN_316_317_318,0</v>
      </c>
    </row>
    <row r="226" spans="1:11" x14ac:dyDescent="0.25">
      <c r="A226">
        <v>112</v>
      </c>
      <c r="B226">
        <v>113</v>
      </c>
      <c r="C226">
        <v>114</v>
      </c>
      <c r="D226">
        <v>0</v>
      </c>
      <c r="E226">
        <f t="shared" si="18"/>
        <v>14</v>
      </c>
      <c r="F226">
        <v>0</v>
      </c>
      <c r="G226" t="b">
        <f t="shared" si="19"/>
        <v>0</v>
      </c>
      <c r="H226" t="str">
        <f t="shared" si="20"/>
        <v>TURN_112_113_114</v>
      </c>
      <c r="I226" t="e">
        <f t="shared" ca="1" si="21"/>
        <v>#REF!</v>
      </c>
      <c r="J226">
        <f t="shared" ca="1" si="22"/>
        <v>0</v>
      </c>
      <c r="K226" t="str">
        <f t="shared" ca="1" si="23"/>
        <v>112,113,114,TURN_112_113_114,0</v>
      </c>
    </row>
    <row r="227" spans="1:11" x14ac:dyDescent="0.25">
      <c r="A227">
        <v>112</v>
      </c>
      <c r="B227">
        <v>113</v>
      </c>
      <c r="C227">
        <v>224</v>
      </c>
      <c r="D227">
        <v>0</v>
      </c>
      <c r="E227">
        <f t="shared" si="18"/>
        <v>14</v>
      </c>
      <c r="F227">
        <v>300</v>
      </c>
      <c r="G227" t="b">
        <f t="shared" si="19"/>
        <v>0</v>
      </c>
      <c r="H227" t="str">
        <f t="shared" si="20"/>
        <v>TURN_112_113_224</v>
      </c>
      <c r="I227">
        <f t="shared" ca="1" si="21"/>
        <v>50</v>
      </c>
      <c r="J227">
        <f t="shared" ca="1" si="22"/>
        <v>50</v>
      </c>
      <c r="K227" t="str">
        <f t="shared" ca="1" si="23"/>
        <v>112,113,224,TURN_112_113_224,50</v>
      </c>
    </row>
    <row r="228" spans="1:11" x14ac:dyDescent="0.25">
      <c r="A228">
        <v>112</v>
      </c>
      <c r="B228">
        <v>113</v>
      </c>
      <c r="C228">
        <v>509</v>
      </c>
      <c r="D228">
        <v>0</v>
      </c>
      <c r="E228">
        <f t="shared" si="18"/>
        <v>14</v>
      </c>
      <c r="F228">
        <v>100</v>
      </c>
      <c r="G228" t="b">
        <f t="shared" si="19"/>
        <v>0</v>
      </c>
      <c r="H228" t="str">
        <f t="shared" si="20"/>
        <v>TURN_112_113_509</v>
      </c>
      <c r="I228">
        <f t="shared" ca="1" si="21"/>
        <v>300</v>
      </c>
      <c r="J228">
        <f t="shared" ca="1" si="22"/>
        <v>300</v>
      </c>
      <c r="K228" t="str">
        <f t="shared" ca="1" si="23"/>
        <v>112,113,509,TURN_112_113_509,300</v>
      </c>
    </row>
    <row r="229" spans="1:11" hidden="1" x14ac:dyDescent="0.25">
      <c r="A229">
        <v>112</v>
      </c>
      <c r="B229">
        <v>114</v>
      </c>
      <c r="C229">
        <v>115</v>
      </c>
      <c r="D229">
        <v>0</v>
      </c>
      <c r="E229" t="e">
        <f t="shared" si="18"/>
        <v>#N/A</v>
      </c>
      <c r="G229" t="b">
        <f t="shared" si="19"/>
        <v>0</v>
      </c>
      <c r="H229" t="str">
        <f t="shared" si="20"/>
        <v>TURN_112_114_115</v>
      </c>
      <c r="I229" t="e">
        <f t="shared" ca="1" si="21"/>
        <v>#REF!</v>
      </c>
      <c r="J229">
        <f t="shared" ca="1" si="22"/>
        <v>0</v>
      </c>
      <c r="K229" t="str">
        <f t="shared" ca="1" si="23"/>
        <v>112,114,115,TURN_112_114_115,0</v>
      </c>
    </row>
    <row r="230" spans="1:11" hidden="1" x14ac:dyDescent="0.25">
      <c r="A230">
        <v>117</v>
      </c>
      <c r="B230">
        <v>413</v>
      </c>
      <c r="C230">
        <v>414</v>
      </c>
      <c r="D230">
        <v>0</v>
      </c>
      <c r="E230" t="e">
        <f t="shared" si="18"/>
        <v>#N/A</v>
      </c>
      <c r="G230" t="b">
        <f t="shared" si="19"/>
        <v>0</v>
      </c>
      <c r="H230" t="str">
        <f t="shared" si="20"/>
        <v>TURN_117_413_414</v>
      </c>
      <c r="I230" t="e">
        <f t="shared" ca="1" si="21"/>
        <v>#REF!</v>
      </c>
      <c r="J230">
        <f t="shared" ca="1" si="22"/>
        <v>0</v>
      </c>
      <c r="K230" t="str">
        <f t="shared" ca="1" si="23"/>
        <v>117,413,414,TURN_117_413_414,0</v>
      </c>
    </row>
    <row r="231" spans="1:11" hidden="1" x14ac:dyDescent="0.25">
      <c r="A231">
        <v>117</v>
      </c>
      <c r="B231">
        <v>118</v>
      </c>
      <c r="C231">
        <v>119</v>
      </c>
      <c r="D231">
        <v>0</v>
      </c>
      <c r="E231" t="e">
        <f t="shared" si="18"/>
        <v>#N/A</v>
      </c>
      <c r="G231" t="b">
        <f t="shared" si="19"/>
        <v>0</v>
      </c>
      <c r="H231" t="str">
        <f t="shared" si="20"/>
        <v>TURN_117_118_119</v>
      </c>
      <c r="I231" t="e">
        <f t="shared" ca="1" si="21"/>
        <v>#REF!</v>
      </c>
      <c r="J231">
        <f t="shared" ca="1" si="22"/>
        <v>0</v>
      </c>
      <c r="K231" t="str">
        <f t="shared" ca="1" si="23"/>
        <v>117,118,119,TURN_117_118_119,0</v>
      </c>
    </row>
    <row r="232" spans="1:11" hidden="1" x14ac:dyDescent="0.25">
      <c r="A232">
        <v>118</v>
      </c>
      <c r="B232">
        <v>119</v>
      </c>
      <c r="C232">
        <v>120</v>
      </c>
      <c r="D232">
        <v>0</v>
      </c>
      <c r="E232" t="e">
        <f t="shared" si="18"/>
        <v>#N/A</v>
      </c>
      <c r="G232" t="b">
        <f t="shared" si="19"/>
        <v>0</v>
      </c>
      <c r="H232" t="str">
        <f t="shared" si="20"/>
        <v>TURN_118_119_120</v>
      </c>
      <c r="I232" t="e">
        <f t="shared" ca="1" si="21"/>
        <v>#REF!</v>
      </c>
      <c r="J232">
        <f t="shared" ca="1" si="22"/>
        <v>0</v>
      </c>
      <c r="K232" t="str">
        <f t="shared" ca="1" si="23"/>
        <v>118,119,120,TURN_118_119_120,0</v>
      </c>
    </row>
    <row r="233" spans="1:11" hidden="1" x14ac:dyDescent="0.25">
      <c r="A233">
        <v>313</v>
      </c>
      <c r="B233">
        <v>314</v>
      </c>
      <c r="C233">
        <v>315</v>
      </c>
      <c r="D233">
        <v>0</v>
      </c>
      <c r="E233" t="e">
        <f t="shared" si="18"/>
        <v>#N/A</v>
      </c>
      <c r="G233" t="b">
        <f t="shared" si="19"/>
        <v>0</v>
      </c>
      <c r="H233" t="str">
        <f t="shared" si="20"/>
        <v>TURN_313_314_315</v>
      </c>
      <c r="I233" t="e">
        <f t="shared" ca="1" si="21"/>
        <v>#REF!</v>
      </c>
      <c r="J233">
        <f t="shared" ca="1" si="22"/>
        <v>0</v>
      </c>
      <c r="K233" t="str">
        <f t="shared" ca="1" si="23"/>
        <v>313,314,315,TURN_313_314_315,0</v>
      </c>
    </row>
    <row r="234" spans="1:11" hidden="1" x14ac:dyDescent="0.25">
      <c r="A234">
        <v>313</v>
      </c>
      <c r="B234">
        <v>314</v>
      </c>
      <c r="C234">
        <v>221</v>
      </c>
      <c r="D234">
        <v>0</v>
      </c>
      <c r="E234" t="e">
        <f t="shared" si="18"/>
        <v>#N/A</v>
      </c>
      <c r="G234" t="b">
        <f t="shared" si="19"/>
        <v>0</v>
      </c>
      <c r="H234" t="str">
        <f t="shared" si="20"/>
        <v>TURN_313_314_221</v>
      </c>
      <c r="I234" t="e">
        <f t="shared" ca="1" si="21"/>
        <v>#REF!</v>
      </c>
      <c r="J234">
        <f t="shared" ca="1" si="22"/>
        <v>0</v>
      </c>
      <c r="K234" t="str">
        <f t="shared" ca="1" si="23"/>
        <v>313,314,221,TURN_313_314_221,0</v>
      </c>
    </row>
    <row r="235" spans="1:11" hidden="1" x14ac:dyDescent="0.25">
      <c r="A235">
        <v>313</v>
      </c>
      <c r="B235">
        <v>318</v>
      </c>
      <c r="C235">
        <v>319</v>
      </c>
      <c r="D235">
        <v>0</v>
      </c>
      <c r="E235" t="e">
        <f t="shared" si="18"/>
        <v>#N/A</v>
      </c>
      <c r="G235" t="b">
        <f t="shared" si="19"/>
        <v>0</v>
      </c>
      <c r="H235" t="str">
        <f t="shared" si="20"/>
        <v>TURN_313_318_319</v>
      </c>
      <c r="I235" t="e">
        <f t="shared" ca="1" si="21"/>
        <v>#REF!</v>
      </c>
      <c r="J235">
        <f t="shared" ca="1" si="22"/>
        <v>0</v>
      </c>
      <c r="K235" t="str">
        <f t="shared" ca="1" si="23"/>
        <v>313,318,319,TURN_313_318_319,0</v>
      </c>
    </row>
    <row r="236" spans="1:11" hidden="1" x14ac:dyDescent="0.25">
      <c r="A236">
        <v>318</v>
      </c>
      <c r="B236">
        <v>319</v>
      </c>
      <c r="C236">
        <v>320</v>
      </c>
      <c r="D236">
        <v>0</v>
      </c>
      <c r="E236" t="e">
        <f t="shared" si="18"/>
        <v>#N/A</v>
      </c>
      <c r="G236" t="b">
        <f t="shared" si="19"/>
        <v>0</v>
      </c>
      <c r="H236" t="str">
        <f t="shared" si="20"/>
        <v>TURN_318_319_320</v>
      </c>
      <c r="I236" t="e">
        <f t="shared" ca="1" si="21"/>
        <v>#REF!</v>
      </c>
      <c r="J236">
        <f t="shared" ca="1" si="22"/>
        <v>0</v>
      </c>
      <c r="K236" t="str">
        <f t="shared" ca="1" si="23"/>
        <v>318,319,320,TURN_318_319_320,0</v>
      </c>
    </row>
    <row r="237" spans="1:11" hidden="1" x14ac:dyDescent="0.25">
      <c r="A237">
        <v>318</v>
      </c>
      <c r="B237">
        <v>319</v>
      </c>
      <c r="C237">
        <v>321</v>
      </c>
      <c r="D237">
        <v>0</v>
      </c>
      <c r="E237" t="e">
        <f t="shared" si="18"/>
        <v>#N/A</v>
      </c>
      <c r="G237" t="b">
        <f t="shared" si="19"/>
        <v>0</v>
      </c>
      <c r="H237" t="str">
        <f t="shared" si="20"/>
        <v>TURN_318_319_321</v>
      </c>
      <c r="I237" t="e">
        <f t="shared" ca="1" si="21"/>
        <v>#REF!</v>
      </c>
      <c r="J237">
        <f t="shared" ca="1" si="22"/>
        <v>0</v>
      </c>
      <c r="K237" t="str">
        <f t="shared" ca="1" si="23"/>
        <v>318,319,321,TURN_318_319_321,0</v>
      </c>
    </row>
    <row r="238" spans="1:11" hidden="1" x14ac:dyDescent="0.25">
      <c r="A238">
        <v>119</v>
      </c>
      <c r="B238">
        <v>120</v>
      </c>
      <c r="C238">
        <v>121</v>
      </c>
      <c r="D238">
        <v>0</v>
      </c>
      <c r="E238" t="e">
        <f t="shared" si="18"/>
        <v>#N/A</v>
      </c>
      <c r="G238" t="b">
        <f t="shared" si="19"/>
        <v>0</v>
      </c>
      <c r="H238" t="str">
        <f t="shared" si="20"/>
        <v>TURN_119_120_121</v>
      </c>
      <c r="I238" t="e">
        <f t="shared" ca="1" si="21"/>
        <v>#REF!</v>
      </c>
      <c r="J238">
        <f t="shared" ca="1" si="22"/>
        <v>0</v>
      </c>
      <c r="K238" t="str">
        <f t="shared" ca="1" si="23"/>
        <v>119,120,121,TURN_119_120_121,0</v>
      </c>
    </row>
    <row r="239" spans="1:11" hidden="1" x14ac:dyDescent="0.25">
      <c r="A239">
        <v>114</v>
      </c>
      <c r="B239">
        <v>115</v>
      </c>
      <c r="C239">
        <v>116</v>
      </c>
      <c r="D239">
        <v>0</v>
      </c>
      <c r="E239" t="e">
        <f t="shared" si="18"/>
        <v>#N/A</v>
      </c>
      <c r="G239" t="b">
        <f t="shared" si="19"/>
        <v>0</v>
      </c>
      <c r="H239" t="str">
        <f t="shared" si="20"/>
        <v>TURN_114_115_116</v>
      </c>
      <c r="I239" t="e">
        <f t="shared" ca="1" si="21"/>
        <v>#REF!</v>
      </c>
      <c r="J239">
        <f t="shared" ca="1" si="22"/>
        <v>0</v>
      </c>
      <c r="K239" t="str">
        <f t="shared" ca="1" si="23"/>
        <v>114,115,116,TURN_114_115_116,0</v>
      </c>
    </row>
    <row r="240" spans="1:11" hidden="1" x14ac:dyDescent="0.25">
      <c r="A240">
        <v>114</v>
      </c>
      <c r="B240">
        <v>115</v>
      </c>
      <c r="C240">
        <v>120</v>
      </c>
      <c r="D240">
        <v>0</v>
      </c>
      <c r="E240" t="e">
        <f t="shared" si="18"/>
        <v>#N/A</v>
      </c>
      <c r="G240" t="b">
        <f t="shared" si="19"/>
        <v>0</v>
      </c>
      <c r="H240" t="str">
        <f t="shared" si="20"/>
        <v>TURN_114_115_120</v>
      </c>
      <c r="I240" t="e">
        <f t="shared" ca="1" si="21"/>
        <v>#REF!</v>
      </c>
      <c r="J240">
        <f t="shared" ca="1" si="22"/>
        <v>0</v>
      </c>
      <c r="K240" t="str">
        <f t="shared" ca="1" si="23"/>
        <v>114,115,120,TURN_114_115_120,0</v>
      </c>
    </row>
    <row r="241" spans="1:11" hidden="1" x14ac:dyDescent="0.25">
      <c r="A241">
        <v>424</v>
      </c>
      <c r="B241">
        <v>427</v>
      </c>
      <c r="C241">
        <v>428</v>
      </c>
      <c r="D241">
        <v>0</v>
      </c>
      <c r="E241" t="e">
        <f t="shared" si="18"/>
        <v>#N/A</v>
      </c>
      <c r="G241" t="b">
        <f t="shared" si="19"/>
        <v>0</v>
      </c>
      <c r="H241" t="str">
        <f t="shared" si="20"/>
        <v>TURN_424_427_428</v>
      </c>
      <c r="I241" t="e">
        <f t="shared" ca="1" si="21"/>
        <v>#REF!</v>
      </c>
      <c r="J241">
        <f t="shared" ca="1" si="22"/>
        <v>0</v>
      </c>
      <c r="K241" t="str">
        <f t="shared" ca="1" si="23"/>
        <v>424,427,428,TURN_424_427_428,0</v>
      </c>
    </row>
    <row r="242" spans="1:11" hidden="1" x14ac:dyDescent="0.25">
      <c r="A242">
        <v>422</v>
      </c>
      <c r="B242">
        <v>423</v>
      </c>
      <c r="C242">
        <v>424</v>
      </c>
      <c r="D242">
        <v>0</v>
      </c>
      <c r="E242" t="e">
        <f t="shared" si="18"/>
        <v>#N/A</v>
      </c>
      <c r="G242" t="b">
        <f t="shared" si="19"/>
        <v>0</v>
      </c>
      <c r="H242" t="str">
        <f t="shared" si="20"/>
        <v>TURN_422_423_424</v>
      </c>
      <c r="I242" t="e">
        <f t="shared" ca="1" si="21"/>
        <v>#REF!</v>
      </c>
      <c r="J242">
        <f t="shared" ca="1" si="22"/>
        <v>0</v>
      </c>
      <c r="K242" t="str">
        <f t="shared" ca="1" si="23"/>
        <v>422,423,424,TURN_422_423_424,0</v>
      </c>
    </row>
    <row r="243" spans="1:11" hidden="1" x14ac:dyDescent="0.25">
      <c r="A243">
        <v>423</v>
      </c>
      <c r="B243">
        <v>424</v>
      </c>
      <c r="C243">
        <v>427</v>
      </c>
      <c r="D243">
        <v>0</v>
      </c>
      <c r="E243" t="e">
        <f t="shared" si="18"/>
        <v>#N/A</v>
      </c>
      <c r="G243" t="b">
        <f t="shared" si="19"/>
        <v>0</v>
      </c>
      <c r="H243" t="str">
        <f t="shared" si="20"/>
        <v>TURN_423_424_427</v>
      </c>
      <c r="I243" t="e">
        <f t="shared" ca="1" si="21"/>
        <v>#REF!</v>
      </c>
      <c r="J243">
        <f t="shared" ca="1" si="22"/>
        <v>0</v>
      </c>
      <c r="K243" t="str">
        <f t="shared" ca="1" si="23"/>
        <v>423,424,427,TURN_423_424_427,0</v>
      </c>
    </row>
    <row r="244" spans="1:11" hidden="1" x14ac:dyDescent="0.25">
      <c r="A244">
        <v>423</v>
      </c>
      <c r="B244">
        <v>424</v>
      </c>
      <c r="C244">
        <v>425</v>
      </c>
      <c r="D244">
        <v>0</v>
      </c>
      <c r="E244" t="e">
        <f t="shared" si="18"/>
        <v>#N/A</v>
      </c>
      <c r="G244" t="b">
        <f t="shared" si="19"/>
        <v>0</v>
      </c>
      <c r="H244" t="str">
        <f t="shared" si="20"/>
        <v>TURN_423_424_425</v>
      </c>
      <c r="I244" t="e">
        <f t="shared" ca="1" si="21"/>
        <v>#REF!</v>
      </c>
      <c r="J244">
        <f t="shared" ca="1" si="22"/>
        <v>0</v>
      </c>
      <c r="K244" t="str">
        <f t="shared" ca="1" si="23"/>
        <v>423,424,425,TURN_423_424_425,0</v>
      </c>
    </row>
    <row r="245" spans="1:11" hidden="1" x14ac:dyDescent="0.25">
      <c r="A245">
        <v>420</v>
      </c>
      <c r="B245">
        <v>423</v>
      </c>
      <c r="C245">
        <v>424</v>
      </c>
      <c r="D245">
        <v>0</v>
      </c>
      <c r="E245" t="e">
        <f t="shared" si="18"/>
        <v>#N/A</v>
      </c>
      <c r="G245" t="b">
        <f t="shared" si="19"/>
        <v>0</v>
      </c>
      <c r="H245" t="str">
        <f t="shared" si="20"/>
        <v>TURN_420_423_424</v>
      </c>
      <c r="I245" t="e">
        <f t="shared" ca="1" si="21"/>
        <v>#REF!</v>
      </c>
      <c r="J245">
        <f t="shared" ca="1" si="22"/>
        <v>0</v>
      </c>
      <c r="K245" t="str">
        <f t="shared" ca="1" si="23"/>
        <v>420,423,424,TURN_420_423_424,0</v>
      </c>
    </row>
    <row r="246" spans="1:11" hidden="1" x14ac:dyDescent="0.25">
      <c r="A246">
        <v>418</v>
      </c>
      <c r="B246">
        <v>419</v>
      </c>
      <c r="C246">
        <v>420</v>
      </c>
      <c r="D246">
        <v>0</v>
      </c>
      <c r="E246" t="e">
        <f t="shared" si="18"/>
        <v>#N/A</v>
      </c>
      <c r="G246" t="b">
        <f t="shared" si="19"/>
        <v>0</v>
      </c>
      <c r="H246" t="str">
        <f t="shared" si="20"/>
        <v>TURN_418_419_420</v>
      </c>
      <c r="I246" t="e">
        <f t="shared" ca="1" si="21"/>
        <v>#REF!</v>
      </c>
      <c r="J246">
        <f t="shared" ca="1" si="22"/>
        <v>0</v>
      </c>
      <c r="K246" t="str">
        <f t="shared" ca="1" si="23"/>
        <v>418,419,420,TURN_418_419_420,0</v>
      </c>
    </row>
    <row r="247" spans="1:11" hidden="1" x14ac:dyDescent="0.25">
      <c r="A247">
        <v>419</v>
      </c>
      <c r="B247">
        <v>420</v>
      </c>
      <c r="C247">
        <v>423</v>
      </c>
      <c r="D247">
        <v>0</v>
      </c>
      <c r="E247" t="e">
        <f t="shared" si="18"/>
        <v>#N/A</v>
      </c>
      <c r="G247" t="b">
        <f t="shared" si="19"/>
        <v>0</v>
      </c>
      <c r="H247" t="str">
        <f t="shared" si="20"/>
        <v>TURN_419_420_423</v>
      </c>
      <c r="I247" t="e">
        <f t="shared" ca="1" si="21"/>
        <v>#REF!</v>
      </c>
      <c r="J247">
        <f t="shared" ca="1" si="22"/>
        <v>0</v>
      </c>
      <c r="K247" t="str">
        <f t="shared" ca="1" si="23"/>
        <v>419,420,423,TURN_419_420_423,0</v>
      </c>
    </row>
    <row r="248" spans="1:11" hidden="1" x14ac:dyDescent="0.25">
      <c r="A248">
        <v>419</v>
      </c>
      <c r="B248">
        <v>420</v>
      </c>
      <c r="C248">
        <v>421</v>
      </c>
      <c r="D248">
        <v>0</v>
      </c>
      <c r="E248" t="e">
        <f t="shared" si="18"/>
        <v>#N/A</v>
      </c>
      <c r="G248" t="b">
        <f t="shared" si="19"/>
        <v>0</v>
      </c>
      <c r="H248" t="str">
        <f t="shared" si="20"/>
        <v>TURN_419_420_421</v>
      </c>
      <c r="I248" t="e">
        <f t="shared" ca="1" si="21"/>
        <v>#REF!</v>
      </c>
      <c r="J248">
        <f t="shared" ca="1" si="22"/>
        <v>0</v>
      </c>
      <c r="K248" t="str">
        <f t="shared" ca="1" si="23"/>
        <v>419,420,421,TURN_419_420_421,0</v>
      </c>
    </row>
    <row r="249" spans="1:11" hidden="1" x14ac:dyDescent="0.25">
      <c r="A249">
        <v>406</v>
      </c>
      <c r="B249">
        <v>407</v>
      </c>
      <c r="C249">
        <v>409</v>
      </c>
      <c r="D249">
        <v>0</v>
      </c>
      <c r="E249" t="e">
        <f t="shared" si="18"/>
        <v>#N/A</v>
      </c>
      <c r="G249" t="b">
        <f t="shared" si="19"/>
        <v>0</v>
      </c>
      <c r="H249" t="str">
        <f t="shared" si="20"/>
        <v>TURN_406_407_409</v>
      </c>
      <c r="I249" t="e">
        <f t="shared" ca="1" si="21"/>
        <v>#REF!</v>
      </c>
      <c r="J249">
        <f t="shared" ca="1" si="22"/>
        <v>0</v>
      </c>
      <c r="K249" t="str">
        <f t="shared" ca="1" si="23"/>
        <v>406,407,409,TURN_406_407_409,0</v>
      </c>
    </row>
    <row r="250" spans="1:11" hidden="1" x14ac:dyDescent="0.25">
      <c r="A250">
        <v>406</v>
      </c>
      <c r="B250">
        <v>407</v>
      </c>
      <c r="C250">
        <v>408</v>
      </c>
      <c r="D250">
        <v>0</v>
      </c>
      <c r="E250" t="e">
        <f t="shared" si="18"/>
        <v>#N/A</v>
      </c>
      <c r="G250" t="b">
        <f t="shared" si="19"/>
        <v>0</v>
      </c>
      <c r="H250" t="str">
        <f t="shared" si="20"/>
        <v>TURN_406_407_408</v>
      </c>
      <c r="I250" t="e">
        <f t="shared" ca="1" si="21"/>
        <v>#REF!</v>
      </c>
      <c r="J250">
        <f t="shared" ca="1" si="22"/>
        <v>0</v>
      </c>
      <c r="K250" t="str">
        <f t="shared" ca="1" si="23"/>
        <v>406,407,408,TURN_406_407_408,0</v>
      </c>
    </row>
    <row r="251" spans="1:11" hidden="1" x14ac:dyDescent="0.25">
      <c r="A251">
        <v>408</v>
      </c>
      <c r="B251">
        <v>409</v>
      </c>
      <c r="C251">
        <v>410</v>
      </c>
      <c r="D251">
        <v>0</v>
      </c>
      <c r="E251" t="e">
        <f t="shared" si="18"/>
        <v>#N/A</v>
      </c>
      <c r="G251" t="b">
        <f t="shared" si="19"/>
        <v>0</v>
      </c>
      <c r="H251" t="str">
        <f t="shared" si="20"/>
        <v>TURN_408_409_410</v>
      </c>
      <c r="I251" t="e">
        <f t="shared" ca="1" si="21"/>
        <v>#REF!</v>
      </c>
      <c r="J251">
        <f t="shared" ca="1" si="22"/>
        <v>0</v>
      </c>
      <c r="K251" t="str">
        <f t="shared" ca="1" si="23"/>
        <v>408,409,410,TURN_408_409_410,0</v>
      </c>
    </row>
    <row r="252" spans="1:11" x14ac:dyDescent="0.25">
      <c r="A252">
        <v>408</v>
      </c>
      <c r="B252">
        <v>320</v>
      </c>
      <c r="C252">
        <v>321</v>
      </c>
      <c r="D252">
        <v>0</v>
      </c>
      <c r="E252">
        <f t="shared" si="18"/>
        <v>7</v>
      </c>
      <c r="F252">
        <v>450</v>
      </c>
      <c r="G252" t="b">
        <f t="shared" si="19"/>
        <v>0</v>
      </c>
      <c r="H252" t="str">
        <f t="shared" si="20"/>
        <v>TURN_408_320_321</v>
      </c>
      <c r="I252">
        <f t="shared" ca="1" si="21"/>
        <v>400</v>
      </c>
      <c r="J252">
        <f t="shared" ca="1" si="22"/>
        <v>400</v>
      </c>
      <c r="K252" t="str">
        <f t="shared" ca="1" si="23"/>
        <v>408,320,321,TURN_408_320_321,400</v>
      </c>
    </row>
    <row r="253" spans="1:11" x14ac:dyDescent="0.25">
      <c r="A253">
        <v>408</v>
      </c>
      <c r="B253">
        <v>320</v>
      </c>
      <c r="C253">
        <v>408</v>
      </c>
      <c r="D253">
        <v>0</v>
      </c>
      <c r="E253">
        <f t="shared" si="18"/>
        <v>7</v>
      </c>
      <c r="F253">
        <v>0</v>
      </c>
      <c r="G253" t="b">
        <f t="shared" si="19"/>
        <v>1</v>
      </c>
      <c r="H253" t="str">
        <f t="shared" si="20"/>
        <v>TURN_408_320_408</v>
      </c>
      <c r="I253" t="e">
        <f t="shared" ca="1" si="21"/>
        <v>#REF!</v>
      </c>
      <c r="J253">
        <f t="shared" ca="1" si="22"/>
        <v>0</v>
      </c>
      <c r="K253" t="str">
        <f t="shared" ca="1" si="23"/>
        <v>408,320,408,TURN_408_320_408,0</v>
      </c>
    </row>
    <row r="254" spans="1:11" x14ac:dyDescent="0.25">
      <c r="A254">
        <v>408</v>
      </c>
      <c r="B254">
        <v>320</v>
      </c>
      <c r="C254">
        <v>509</v>
      </c>
      <c r="D254">
        <v>0</v>
      </c>
      <c r="E254">
        <f t="shared" si="18"/>
        <v>7</v>
      </c>
      <c r="G254" t="b">
        <f t="shared" si="19"/>
        <v>0</v>
      </c>
      <c r="H254" t="str">
        <f t="shared" si="20"/>
        <v>TURN_408_320_509</v>
      </c>
      <c r="I254">
        <f t="shared" ca="1" si="21"/>
        <v>1200</v>
      </c>
      <c r="J254">
        <f t="shared" ca="1" si="22"/>
        <v>1200</v>
      </c>
      <c r="K254" t="str">
        <f t="shared" ca="1" si="23"/>
        <v>408,320,509,TURN_408_320_509,1200</v>
      </c>
    </row>
    <row r="255" spans="1:11" hidden="1" x14ac:dyDescent="0.25">
      <c r="A255">
        <v>409</v>
      </c>
      <c r="B255">
        <v>410</v>
      </c>
      <c r="C255">
        <v>411</v>
      </c>
      <c r="D255">
        <v>0</v>
      </c>
      <c r="E255" t="e">
        <f t="shared" si="18"/>
        <v>#N/A</v>
      </c>
      <c r="G255" t="b">
        <f t="shared" si="19"/>
        <v>0</v>
      </c>
      <c r="H255" t="str">
        <f t="shared" si="20"/>
        <v>TURN_409_410_411</v>
      </c>
      <c r="I255" t="e">
        <f t="shared" ca="1" si="21"/>
        <v>#REF!</v>
      </c>
      <c r="J255">
        <f t="shared" ca="1" si="22"/>
        <v>0</v>
      </c>
      <c r="K255" t="str">
        <f t="shared" ca="1" si="23"/>
        <v>409,410,411,TURN_409_410_411,0</v>
      </c>
    </row>
    <row r="256" spans="1:11" hidden="1" x14ac:dyDescent="0.25">
      <c r="A256">
        <v>409</v>
      </c>
      <c r="B256">
        <v>410</v>
      </c>
      <c r="C256">
        <v>415</v>
      </c>
      <c r="D256">
        <v>0</v>
      </c>
      <c r="E256" t="e">
        <f t="shared" si="18"/>
        <v>#N/A</v>
      </c>
      <c r="G256" t="b">
        <f t="shared" si="19"/>
        <v>0</v>
      </c>
      <c r="H256" t="str">
        <f t="shared" si="20"/>
        <v>TURN_409_410_415</v>
      </c>
      <c r="I256" t="e">
        <f t="shared" ca="1" si="21"/>
        <v>#REF!</v>
      </c>
      <c r="J256">
        <f t="shared" ca="1" si="22"/>
        <v>0</v>
      </c>
      <c r="K256" t="str">
        <f t="shared" ca="1" si="23"/>
        <v>409,410,415,TURN_409_410_415,0</v>
      </c>
    </row>
    <row r="257" spans="1:11" hidden="1" x14ac:dyDescent="0.25">
      <c r="A257">
        <v>400</v>
      </c>
      <c r="B257">
        <v>401</v>
      </c>
      <c r="C257">
        <v>403</v>
      </c>
      <c r="D257">
        <v>0</v>
      </c>
      <c r="E257" t="e">
        <f t="shared" si="18"/>
        <v>#N/A</v>
      </c>
      <c r="G257" t="b">
        <f t="shared" si="19"/>
        <v>0</v>
      </c>
      <c r="H257" t="str">
        <f t="shared" si="20"/>
        <v>TURN_400_401_403</v>
      </c>
      <c r="I257" t="e">
        <f t="shared" ca="1" si="21"/>
        <v>#REF!</v>
      </c>
      <c r="J257">
        <f t="shared" ca="1" si="22"/>
        <v>0</v>
      </c>
      <c r="K257" t="str">
        <f t="shared" ca="1" si="23"/>
        <v>400,401,403,TURN_400_401_403,0</v>
      </c>
    </row>
    <row r="258" spans="1:11" hidden="1" x14ac:dyDescent="0.25">
      <c r="A258">
        <v>400</v>
      </c>
      <c r="B258">
        <v>401</v>
      </c>
      <c r="C258">
        <v>402</v>
      </c>
      <c r="D258">
        <v>0</v>
      </c>
      <c r="E258" t="e">
        <f t="shared" ref="E258:E321" si="24">MATCH(B258,$M$3:$M$18,0)</f>
        <v>#N/A</v>
      </c>
      <c r="G258" t="b">
        <f t="shared" ref="G258:G321" si="25">A258=C258</f>
        <v>0</v>
      </c>
      <c r="H258" t="str">
        <f t="shared" si="20"/>
        <v>TURN_400_401_402</v>
      </c>
      <c r="I258" t="e">
        <f t="shared" ca="1" si="21"/>
        <v>#REF!</v>
      </c>
      <c r="J258">
        <f t="shared" ca="1" si="22"/>
        <v>0</v>
      </c>
      <c r="K258" t="str">
        <f t="shared" ca="1" si="23"/>
        <v>400,401,402,TURN_400_401_402,0</v>
      </c>
    </row>
    <row r="259" spans="1:11" hidden="1" x14ac:dyDescent="0.25">
      <c r="A259">
        <v>426</v>
      </c>
      <c r="B259">
        <v>427</v>
      </c>
      <c r="C259">
        <v>428</v>
      </c>
      <c r="D259">
        <v>0</v>
      </c>
      <c r="E259" t="e">
        <f t="shared" si="24"/>
        <v>#N/A</v>
      </c>
      <c r="G259" t="b">
        <f t="shared" si="25"/>
        <v>0</v>
      </c>
      <c r="H259" t="str">
        <f t="shared" ref="H259:H322" si="26">"TURN_"&amp;A259&amp;"_"&amp;B259&amp;"_"&amp;C259</f>
        <v>TURN_426_427_428</v>
      </c>
      <c r="I259" t="e">
        <f t="shared" ref="I259:I322" ca="1" si="27">INDIRECT("targets!"&amp;H259)</f>
        <v>#REF!</v>
      </c>
      <c r="J259">
        <f t="shared" ref="J259:J322" ca="1" si="28">IFERROR(I259,0)</f>
        <v>0</v>
      </c>
      <c r="K259" t="str">
        <f t="shared" ref="K259:K322" ca="1" si="29">CONCATENATE(A259,",",B259,",",C259,",",H259,",",J259)</f>
        <v>426,427,428,TURN_426_427_428,0</v>
      </c>
    </row>
    <row r="260" spans="1:11" hidden="1" x14ac:dyDescent="0.25">
      <c r="A260">
        <v>407</v>
      </c>
      <c r="B260">
        <v>409</v>
      </c>
      <c r="C260">
        <v>410</v>
      </c>
      <c r="D260">
        <v>0</v>
      </c>
      <c r="E260" t="e">
        <f t="shared" si="24"/>
        <v>#N/A</v>
      </c>
      <c r="G260" t="b">
        <f t="shared" si="25"/>
        <v>0</v>
      </c>
      <c r="H260" t="str">
        <f t="shared" si="26"/>
        <v>TURN_407_409_410</v>
      </c>
      <c r="I260" t="e">
        <f t="shared" ca="1" si="27"/>
        <v>#REF!</v>
      </c>
      <c r="J260">
        <f t="shared" ca="1" si="28"/>
        <v>0</v>
      </c>
      <c r="K260" t="str">
        <f t="shared" ca="1" si="29"/>
        <v>407,409,410,TURN_407_409_410,0</v>
      </c>
    </row>
    <row r="261" spans="1:11" x14ac:dyDescent="0.25">
      <c r="A261">
        <v>407</v>
      </c>
      <c r="B261">
        <v>408</v>
      </c>
      <c r="C261">
        <v>409</v>
      </c>
      <c r="D261">
        <v>0</v>
      </c>
      <c r="E261">
        <f t="shared" si="24"/>
        <v>10</v>
      </c>
      <c r="G261" t="b">
        <f t="shared" si="25"/>
        <v>0</v>
      </c>
      <c r="H261" t="str">
        <f t="shared" si="26"/>
        <v>TURN_407_408_409</v>
      </c>
      <c r="I261" t="e">
        <f t="shared" ca="1" si="27"/>
        <v>#REF!</v>
      </c>
      <c r="J261">
        <f t="shared" ca="1" si="28"/>
        <v>0</v>
      </c>
      <c r="K261" t="str">
        <f t="shared" ca="1" si="29"/>
        <v>407,408,409,TURN_407_408_409,0</v>
      </c>
    </row>
    <row r="262" spans="1:11" x14ac:dyDescent="0.25">
      <c r="A262">
        <v>407</v>
      </c>
      <c r="B262">
        <v>408</v>
      </c>
      <c r="C262">
        <v>320</v>
      </c>
      <c r="D262">
        <v>0</v>
      </c>
      <c r="E262">
        <f t="shared" si="24"/>
        <v>10</v>
      </c>
      <c r="G262" t="b">
        <f t="shared" si="25"/>
        <v>0</v>
      </c>
      <c r="H262" t="str">
        <f t="shared" si="26"/>
        <v>TURN_407_408_320</v>
      </c>
      <c r="I262">
        <f t="shared" ca="1" si="27"/>
        <v>350</v>
      </c>
      <c r="J262">
        <f t="shared" ca="1" si="28"/>
        <v>350</v>
      </c>
      <c r="K262" t="str">
        <f t="shared" ca="1" si="29"/>
        <v>407,408,320,TURN_407_408_320,350</v>
      </c>
    </row>
    <row r="263" spans="1:11" x14ac:dyDescent="0.25">
      <c r="A263">
        <v>407</v>
      </c>
      <c r="B263">
        <v>408</v>
      </c>
      <c r="C263">
        <v>513</v>
      </c>
      <c r="D263">
        <v>0</v>
      </c>
      <c r="E263">
        <f t="shared" si="24"/>
        <v>10</v>
      </c>
      <c r="G263" t="b">
        <f t="shared" si="25"/>
        <v>0</v>
      </c>
      <c r="H263" t="str">
        <f t="shared" si="26"/>
        <v>TURN_407_408_513</v>
      </c>
      <c r="I263">
        <f t="shared" ca="1" si="27"/>
        <v>200</v>
      </c>
      <c r="J263">
        <f t="shared" ca="1" si="28"/>
        <v>200</v>
      </c>
      <c r="K263" t="str">
        <f t="shared" ca="1" si="29"/>
        <v>407,408,513,TURN_407_408_513,200</v>
      </c>
    </row>
    <row r="264" spans="1:11" hidden="1" x14ac:dyDescent="0.25">
      <c r="A264">
        <v>320</v>
      </c>
      <c r="B264">
        <v>321</v>
      </c>
      <c r="C264">
        <v>322</v>
      </c>
      <c r="D264">
        <v>0</v>
      </c>
      <c r="E264" t="e">
        <f t="shared" si="24"/>
        <v>#N/A</v>
      </c>
      <c r="G264" t="b">
        <f t="shared" si="25"/>
        <v>0</v>
      </c>
      <c r="H264" t="str">
        <f t="shared" si="26"/>
        <v>TURN_320_321_322</v>
      </c>
      <c r="I264" t="e">
        <f t="shared" ca="1" si="27"/>
        <v>#REF!</v>
      </c>
      <c r="J264">
        <f t="shared" ca="1" si="28"/>
        <v>0</v>
      </c>
      <c r="K264" t="str">
        <f t="shared" ca="1" si="29"/>
        <v>320,321,322,TURN_320_321_322,0</v>
      </c>
    </row>
    <row r="265" spans="1:11" x14ac:dyDescent="0.25">
      <c r="A265">
        <v>320</v>
      </c>
      <c r="B265">
        <v>408</v>
      </c>
      <c r="C265">
        <v>409</v>
      </c>
      <c r="D265">
        <v>0</v>
      </c>
      <c r="E265">
        <f t="shared" si="24"/>
        <v>10</v>
      </c>
      <c r="G265" t="b">
        <f t="shared" si="25"/>
        <v>0</v>
      </c>
      <c r="H265" t="str">
        <f t="shared" si="26"/>
        <v>TURN_320_408_409</v>
      </c>
      <c r="I265">
        <f t="shared" ca="1" si="27"/>
        <v>450</v>
      </c>
      <c r="J265">
        <f t="shared" ca="1" si="28"/>
        <v>450</v>
      </c>
      <c r="K265" t="str">
        <f t="shared" ca="1" si="29"/>
        <v>320,408,409,TURN_320_408_409,450</v>
      </c>
    </row>
    <row r="266" spans="1:11" x14ac:dyDescent="0.25">
      <c r="A266">
        <v>320</v>
      </c>
      <c r="B266">
        <v>408</v>
      </c>
      <c r="C266">
        <v>320</v>
      </c>
      <c r="D266">
        <v>0</v>
      </c>
      <c r="E266">
        <f t="shared" si="24"/>
        <v>10</v>
      </c>
      <c r="F266">
        <v>0</v>
      </c>
      <c r="G266" t="b">
        <f t="shared" si="25"/>
        <v>1</v>
      </c>
      <c r="H266" t="str">
        <f t="shared" si="26"/>
        <v>TURN_320_408_320</v>
      </c>
      <c r="I266" t="e">
        <f t="shared" ca="1" si="27"/>
        <v>#REF!</v>
      </c>
      <c r="J266">
        <f t="shared" ca="1" si="28"/>
        <v>0</v>
      </c>
      <c r="K266" t="str">
        <f t="shared" ca="1" si="29"/>
        <v>320,408,320,TURN_320_408_320,0</v>
      </c>
    </row>
    <row r="267" spans="1:11" x14ac:dyDescent="0.25">
      <c r="A267">
        <v>320</v>
      </c>
      <c r="B267">
        <v>408</v>
      </c>
      <c r="C267">
        <v>513</v>
      </c>
      <c r="D267">
        <v>0</v>
      </c>
      <c r="E267">
        <f t="shared" si="24"/>
        <v>10</v>
      </c>
      <c r="G267" t="b">
        <f t="shared" si="25"/>
        <v>0</v>
      </c>
      <c r="H267" t="str">
        <f t="shared" si="26"/>
        <v>TURN_320_408_513</v>
      </c>
      <c r="I267">
        <f t="shared" ca="1" si="27"/>
        <v>1000</v>
      </c>
      <c r="J267">
        <f t="shared" ca="1" si="28"/>
        <v>1000</v>
      </c>
      <c r="K267" t="str">
        <f t="shared" ca="1" si="29"/>
        <v>320,408,513,TURN_320_408_513,1000</v>
      </c>
    </row>
    <row r="268" spans="1:11" x14ac:dyDescent="0.25">
      <c r="A268">
        <v>320</v>
      </c>
      <c r="B268">
        <v>509</v>
      </c>
      <c r="C268">
        <v>320</v>
      </c>
      <c r="D268">
        <v>0</v>
      </c>
      <c r="E268">
        <f t="shared" si="24"/>
        <v>4</v>
      </c>
      <c r="F268">
        <v>0</v>
      </c>
      <c r="G268" t="b">
        <f t="shared" si="25"/>
        <v>1</v>
      </c>
      <c r="H268" t="str">
        <f t="shared" si="26"/>
        <v>TURN_320_509_320</v>
      </c>
      <c r="I268" t="e">
        <f t="shared" ca="1" si="27"/>
        <v>#REF!</v>
      </c>
      <c r="J268">
        <f t="shared" ca="1" si="28"/>
        <v>0</v>
      </c>
      <c r="K268" t="str">
        <f t="shared" ca="1" si="29"/>
        <v>320,509,320,TURN_320_509_320,0</v>
      </c>
    </row>
    <row r="269" spans="1:11" x14ac:dyDescent="0.25">
      <c r="A269">
        <v>320</v>
      </c>
      <c r="B269">
        <v>509</v>
      </c>
      <c r="C269">
        <v>504</v>
      </c>
      <c r="D269">
        <v>0</v>
      </c>
      <c r="E269">
        <f t="shared" si="24"/>
        <v>4</v>
      </c>
      <c r="G269" t="b">
        <f t="shared" si="25"/>
        <v>0</v>
      </c>
      <c r="H269" t="str">
        <f t="shared" si="26"/>
        <v>TURN_320_509_504</v>
      </c>
      <c r="I269">
        <f t="shared" ca="1" si="27"/>
        <v>1200</v>
      </c>
      <c r="J269">
        <f t="shared" ca="1" si="28"/>
        <v>1200</v>
      </c>
      <c r="K269" t="str">
        <f t="shared" ca="1" si="29"/>
        <v>320,509,504,TURN_320_509_504,1200</v>
      </c>
    </row>
    <row r="270" spans="1:11" x14ac:dyDescent="0.25">
      <c r="A270">
        <v>320</v>
      </c>
      <c r="B270">
        <v>509</v>
      </c>
      <c r="C270">
        <v>113</v>
      </c>
      <c r="D270">
        <v>0</v>
      </c>
      <c r="E270">
        <f t="shared" si="24"/>
        <v>4</v>
      </c>
      <c r="G270" t="b">
        <f t="shared" si="25"/>
        <v>0</v>
      </c>
      <c r="H270" t="str">
        <f t="shared" si="26"/>
        <v>TURN_320_509_113</v>
      </c>
      <c r="I270">
        <f t="shared" ca="1" si="27"/>
        <v>200</v>
      </c>
      <c r="J270">
        <f t="shared" ca="1" si="28"/>
        <v>200</v>
      </c>
      <c r="K270" t="str">
        <f t="shared" ca="1" si="29"/>
        <v>320,509,113,TURN_320_509_113,200</v>
      </c>
    </row>
    <row r="271" spans="1:11" x14ac:dyDescent="0.25">
      <c r="A271">
        <v>320</v>
      </c>
      <c r="B271">
        <v>509</v>
      </c>
      <c r="C271">
        <v>510</v>
      </c>
      <c r="D271">
        <v>0</v>
      </c>
      <c r="E271">
        <f t="shared" si="24"/>
        <v>4</v>
      </c>
      <c r="G271" t="b">
        <f t="shared" si="25"/>
        <v>0</v>
      </c>
      <c r="H271" t="str">
        <f t="shared" si="26"/>
        <v>TURN_320_509_510</v>
      </c>
      <c r="I271">
        <f t="shared" ca="1" si="27"/>
        <v>300</v>
      </c>
      <c r="J271">
        <f t="shared" ca="1" si="28"/>
        <v>300</v>
      </c>
      <c r="K271" t="str">
        <f t="shared" ca="1" si="29"/>
        <v>320,509,510,TURN_320_509_510,300</v>
      </c>
    </row>
    <row r="272" spans="1:11" x14ac:dyDescent="0.25">
      <c r="A272">
        <v>501</v>
      </c>
      <c r="B272">
        <v>505</v>
      </c>
      <c r="C272">
        <v>510</v>
      </c>
      <c r="D272">
        <v>0</v>
      </c>
      <c r="E272">
        <f t="shared" si="24"/>
        <v>2</v>
      </c>
      <c r="G272" t="b">
        <f t="shared" si="25"/>
        <v>0</v>
      </c>
      <c r="H272" t="str">
        <f t="shared" si="26"/>
        <v>TURN_501_505_510</v>
      </c>
      <c r="I272">
        <f t="shared" ca="1" si="27"/>
        <v>800</v>
      </c>
      <c r="J272">
        <f t="shared" ca="1" si="28"/>
        <v>800</v>
      </c>
      <c r="K272" t="str">
        <f t="shared" ca="1" si="29"/>
        <v>501,505,510,TURN_501_505_510,800</v>
      </c>
    </row>
    <row r="273" spans="1:11" x14ac:dyDescent="0.25">
      <c r="A273">
        <v>501</v>
      </c>
      <c r="B273">
        <v>505</v>
      </c>
      <c r="C273">
        <v>501</v>
      </c>
      <c r="D273">
        <v>0</v>
      </c>
      <c r="E273">
        <f t="shared" si="24"/>
        <v>2</v>
      </c>
      <c r="F273">
        <v>0</v>
      </c>
      <c r="G273" t="b">
        <f t="shared" si="25"/>
        <v>1</v>
      </c>
      <c r="H273" t="str">
        <f t="shared" si="26"/>
        <v>TURN_501_505_501</v>
      </c>
      <c r="I273" t="e">
        <f t="shared" ca="1" si="27"/>
        <v>#REF!</v>
      </c>
      <c r="J273">
        <f t="shared" ca="1" si="28"/>
        <v>0</v>
      </c>
      <c r="K273" t="str">
        <f t="shared" ca="1" si="29"/>
        <v>501,505,501,TURN_501_505_501,0</v>
      </c>
    </row>
    <row r="274" spans="1:11" x14ac:dyDescent="0.25">
      <c r="A274">
        <v>501</v>
      </c>
      <c r="B274">
        <v>505</v>
      </c>
      <c r="C274">
        <v>504</v>
      </c>
      <c r="D274">
        <v>0</v>
      </c>
      <c r="E274">
        <f t="shared" si="24"/>
        <v>2</v>
      </c>
      <c r="G274" t="b">
        <f t="shared" si="25"/>
        <v>0</v>
      </c>
      <c r="H274" t="str">
        <f t="shared" si="26"/>
        <v>TURN_501_505_504</v>
      </c>
      <c r="I274">
        <f t="shared" ca="1" si="27"/>
        <v>100</v>
      </c>
      <c r="J274">
        <f t="shared" ca="1" si="28"/>
        <v>100</v>
      </c>
      <c r="K274" t="str">
        <f t="shared" ca="1" si="29"/>
        <v>501,505,504,TURN_501_505_504,100</v>
      </c>
    </row>
    <row r="275" spans="1:11" x14ac:dyDescent="0.25">
      <c r="A275">
        <v>501</v>
      </c>
      <c r="B275">
        <v>505</v>
      </c>
      <c r="C275">
        <v>506</v>
      </c>
      <c r="D275">
        <v>0</v>
      </c>
      <c r="E275">
        <f t="shared" si="24"/>
        <v>2</v>
      </c>
      <c r="G275" t="b">
        <f t="shared" si="25"/>
        <v>0</v>
      </c>
      <c r="H275" t="str">
        <f t="shared" si="26"/>
        <v>TURN_501_505_506</v>
      </c>
      <c r="I275">
        <f t="shared" ca="1" si="27"/>
        <v>150</v>
      </c>
      <c r="J275">
        <f t="shared" ca="1" si="28"/>
        <v>150</v>
      </c>
      <c r="K275" t="str">
        <f t="shared" ca="1" si="29"/>
        <v>501,505,506,TURN_501_505_506,150</v>
      </c>
    </row>
    <row r="276" spans="1:11" x14ac:dyDescent="0.25">
      <c r="A276">
        <v>319</v>
      </c>
      <c r="B276">
        <v>320</v>
      </c>
      <c r="C276">
        <v>321</v>
      </c>
      <c r="D276">
        <v>0</v>
      </c>
      <c r="E276">
        <f t="shared" si="24"/>
        <v>7</v>
      </c>
      <c r="F276">
        <v>0</v>
      </c>
      <c r="G276" t="b">
        <f t="shared" si="25"/>
        <v>0</v>
      </c>
      <c r="H276" t="str">
        <f t="shared" si="26"/>
        <v>TURN_319_320_321</v>
      </c>
      <c r="I276" t="e">
        <f t="shared" ca="1" si="27"/>
        <v>#REF!</v>
      </c>
      <c r="J276">
        <f t="shared" ca="1" si="28"/>
        <v>0</v>
      </c>
      <c r="K276" t="str">
        <f t="shared" ca="1" si="29"/>
        <v>319,320,321,TURN_319_320_321,0</v>
      </c>
    </row>
    <row r="277" spans="1:11" x14ac:dyDescent="0.25">
      <c r="A277">
        <v>319</v>
      </c>
      <c r="B277">
        <v>320</v>
      </c>
      <c r="C277">
        <v>408</v>
      </c>
      <c r="D277">
        <v>0</v>
      </c>
      <c r="E277">
        <f t="shared" si="24"/>
        <v>7</v>
      </c>
      <c r="F277">
        <v>400</v>
      </c>
      <c r="G277" t="b">
        <f t="shared" si="25"/>
        <v>0</v>
      </c>
      <c r="H277" t="str">
        <f t="shared" si="26"/>
        <v>TURN_319_320_408</v>
      </c>
      <c r="I277">
        <f t="shared" ca="1" si="27"/>
        <v>600</v>
      </c>
      <c r="J277">
        <f t="shared" ca="1" si="28"/>
        <v>600</v>
      </c>
      <c r="K277" t="str">
        <f t="shared" ca="1" si="29"/>
        <v>319,320,408,TURN_319_320_408,600</v>
      </c>
    </row>
    <row r="278" spans="1:11" x14ac:dyDescent="0.25">
      <c r="A278">
        <v>319</v>
      </c>
      <c r="B278">
        <v>320</v>
      </c>
      <c r="C278">
        <v>509</v>
      </c>
      <c r="D278">
        <v>0</v>
      </c>
      <c r="E278">
        <f t="shared" si="24"/>
        <v>7</v>
      </c>
      <c r="F278">
        <v>780</v>
      </c>
      <c r="G278" t="b">
        <f t="shared" si="25"/>
        <v>0</v>
      </c>
      <c r="H278" t="str">
        <f t="shared" si="26"/>
        <v>TURN_319_320_509</v>
      </c>
      <c r="I278">
        <f t="shared" ca="1" si="27"/>
        <v>350</v>
      </c>
      <c r="J278">
        <f t="shared" ca="1" si="28"/>
        <v>350</v>
      </c>
      <c r="K278" t="str">
        <f t="shared" ca="1" si="29"/>
        <v>319,320,509,TURN_319_320_509,350</v>
      </c>
    </row>
    <row r="279" spans="1:11" hidden="1" x14ac:dyDescent="0.25">
      <c r="A279">
        <v>319</v>
      </c>
      <c r="B279">
        <v>321</v>
      </c>
      <c r="C279">
        <v>322</v>
      </c>
      <c r="D279">
        <v>0</v>
      </c>
      <c r="E279" t="e">
        <f t="shared" si="24"/>
        <v>#N/A</v>
      </c>
      <c r="G279" t="b">
        <f t="shared" si="25"/>
        <v>0</v>
      </c>
      <c r="H279" t="str">
        <f t="shared" si="26"/>
        <v>TURN_319_321_322</v>
      </c>
      <c r="I279" t="e">
        <f t="shared" ca="1" si="27"/>
        <v>#REF!</v>
      </c>
      <c r="J279">
        <f t="shared" ca="1" si="28"/>
        <v>0</v>
      </c>
      <c r="K279" t="str">
        <f t="shared" ca="1" si="29"/>
        <v>319,321,322,TURN_319_321_322,0</v>
      </c>
    </row>
    <row r="280" spans="1:11" hidden="1" x14ac:dyDescent="0.25">
      <c r="A280">
        <v>321</v>
      </c>
      <c r="B280">
        <v>322</v>
      </c>
      <c r="C280">
        <v>323</v>
      </c>
      <c r="D280">
        <v>0</v>
      </c>
      <c r="E280" t="e">
        <f t="shared" si="24"/>
        <v>#N/A</v>
      </c>
      <c r="G280" t="b">
        <f t="shared" si="25"/>
        <v>0</v>
      </c>
      <c r="H280" t="str">
        <f t="shared" si="26"/>
        <v>TURN_321_322_323</v>
      </c>
      <c r="I280" t="e">
        <f t="shared" ca="1" si="27"/>
        <v>#REF!</v>
      </c>
      <c r="J280">
        <f t="shared" ca="1" si="28"/>
        <v>0</v>
      </c>
      <c r="K280" t="str">
        <f t="shared" ca="1" si="29"/>
        <v>321,322,323,TURN_321_322_323,0</v>
      </c>
    </row>
    <row r="281" spans="1:11" hidden="1" x14ac:dyDescent="0.25">
      <c r="A281">
        <v>321</v>
      </c>
      <c r="B281">
        <v>322</v>
      </c>
      <c r="C281">
        <v>324</v>
      </c>
      <c r="D281">
        <v>0</v>
      </c>
      <c r="E281" t="e">
        <f t="shared" si="24"/>
        <v>#N/A</v>
      </c>
      <c r="G281" t="b">
        <f t="shared" si="25"/>
        <v>0</v>
      </c>
      <c r="H281" t="str">
        <f t="shared" si="26"/>
        <v>TURN_321_322_324</v>
      </c>
      <c r="I281" t="e">
        <f t="shared" ca="1" si="27"/>
        <v>#REF!</v>
      </c>
      <c r="J281">
        <f t="shared" ca="1" si="28"/>
        <v>0</v>
      </c>
      <c r="K281" t="str">
        <f t="shared" ca="1" si="29"/>
        <v>321,322,324,TURN_321_322_324,0</v>
      </c>
    </row>
    <row r="282" spans="1:11" hidden="1" x14ac:dyDescent="0.25">
      <c r="A282">
        <v>132</v>
      </c>
      <c r="B282">
        <v>133</v>
      </c>
      <c r="C282">
        <v>134</v>
      </c>
      <c r="D282">
        <v>0</v>
      </c>
      <c r="E282" t="e">
        <f t="shared" si="24"/>
        <v>#N/A</v>
      </c>
      <c r="G282" t="b">
        <f t="shared" si="25"/>
        <v>0</v>
      </c>
      <c r="H282" t="str">
        <f t="shared" si="26"/>
        <v>TURN_132_133_134</v>
      </c>
      <c r="I282" t="e">
        <f t="shared" ca="1" si="27"/>
        <v>#REF!</v>
      </c>
      <c r="J282">
        <f t="shared" ca="1" si="28"/>
        <v>0</v>
      </c>
      <c r="K282" t="str">
        <f t="shared" ca="1" si="29"/>
        <v>132,133,134,TURN_132_133_134,0</v>
      </c>
    </row>
    <row r="283" spans="1:11" hidden="1" x14ac:dyDescent="0.25">
      <c r="A283">
        <v>132</v>
      </c>
      <c r="B283">
        <v>133</v>
      </c>
      <c r="C283">
        <v>136</v>
      </c>
      <c r="D283">
        <v>0</v>
      </c>
      <c r="E283" t="e">
        <f t="shared" si="24"/>
        <v>#N/A</v>
      </c>
      <c r="G283" t="b">
        <f t="shared" si="25"/>
        <v>0</v>
      </c>
      <c r="H283" t="str">
        <f t="shared" si="26"/>
        <v>TURN_132_133_136</v>
      </c>
      <c r="I283" t="e">
        <f t="shared" ca="1" si="27"/>
        <v>#REF!</v>
      </c>
      <c r="J283">
        <f t="shared" ca="1" si="28"/>
        <v>0</v>
      </c>
      <c r="K283" t="str">
        <f t="shared" ca="1" si="29"/>
        <v>132,133,136,TURN_132_133_136,0</v>
      </c>
    </row>
    <row r="284" spans="1:11" x14ac:dyDescent="0.25">
      <c r="A284">
        <v>502</v>
      </c>
      <c r="B284">
        <v>506</v>
      </c>
      <c r="C284">
        <v>511</v>
      </c>
      <c r="D284">
        <v>0</v>
      </c>
      <c r="E284">
        <f t="shared" si="24"/>
        <v>3</v>
      </c>
      <c r="G284" t="b">
        <f t="shared" si="25"/>
        <v>0</v>
      </c>
      <c r="H284" t="str">
        <f t="shared" si="26"/>
        <v>TURN_502_506_511</v>
      </c>
      <c r="I284">
        <f t="shared" ca="1" si="27"/>
        <v>1000</v>
      </c>
      <c r="J284">
        <f t="shared" ca="1" si="28"/>
        <v>1000</v>
      </c>
      <c r="K284" t="str">
        <f t="shared" ca="1" si="29"/>
        <v>502,506,511,TURN_502_506_511,1000</v>
      </c>
    </row>
    <row r="285" spans="1:11" x14ac:dyDescent="0.25">
      <c r="A285">
        <v>502</v>
      </c>
      <c r="B285">
        <v>506</v>
      </c>
      <c r="C285">
        <v>502</v>
      </c>
      <c r="D285">
        <v>0</v>
      </c>
      <c r="E285">
        <f t="shared" si="24"/>
        <v>3</v>
      </c>
      <c r="F285">
        <v>0</v>
      </c>
      <c r="G285" t="b">
        <f t="shared" si="25"/>
        <v>1</v>
      </c>
      <c r="H285" t="str">
        <f t="shared" si="26"/>
        <v>TURN_502_506_502</v>
      </c>
      <c r="I285" t="e">
        <f t="shared" ca="1" si="27"/>
        <v>#REF!</v>
      </c>
      <c r="J285">
        <f t="shared" ca="1" si="28"/>
        <v>0</v>
      </c>
      <c r="K285" t="str">
        <f t="shared" ca="1" si="29"/>
        <v>502,506,502,TURN_502_506_502,0</v>
      </c>
    </row>
    <row r="286" spans="1:11" x14ac:dyDescent="0.25">
      <c r="A286">
        <v>502</v>
      </c>
      <c r="B286">
        <v>506</v>
      </c>
      <c r="C286">
        <v>505</v>
      </c>
      <c r="D286">
        <v>0</v>
      </c>
      <c r="E286">
        <f t="shared" si="24"/>
        <v>3</v>
      </c>
      <c r="G286" t="b">
        <f t="shared" si="25"/>
        <v>0</v>
      </c>
      <c r="H286" t="str">
        <f t="shared" si="26"/>
        <v>TURN_502_506_505</v>
      </c>
      <c r="I286">
        <f t="shared" ca="1" si="27"/>
        <v>250</v>
      </c>
      <c r="J286">
        <f t="shared" ca="1" si="28"/>
        <v>250</v>
      </c>
      <c r="K286" t="str">
        <f t="shared" ca="1" si="29"/>
        <v>502,506,505,TURN_502_506_505,250</v>
      </c>
    </row>
    <row r="287" spans="1:11" x14ac:dyDescent="0.25">
      <c r="A287">
        <v>502</v>
      </c>
      <c r="B287">
        <v>506</v>
      </c>
      <c r="C287">
        <v>507</v>
      </c>
      <c r="D287">
        <v>0</v>
      </c>
      <c r="E287">
        <f t="shared" si="24"/>
        <v>3</v>
      </c>
      <c r="G287" t="b">
        <f t="shared" si="25"/>
        <v>0</v>
      </c>
      <c r="H287" t="str">
        <f t="shared" si="26"/>
        <v>TURN_502_506_507</v>
      </c>
      <c r="I287">
        <f t="shared" ca="1" si="27"/>
        <v>200</v>
      </c>
      <c r="J287">
        <f t="shared" ca="1" si="28"/>
        <v>200</v>
      </c>
      <c r="K287" t="str">
        <f t="shared" ca="1" si="29"/>
        <v>502,506,507,TURN_502_506_507,200</v>
      </c>
    </row>
    <row r="288" spans="1:11" hidden="1" x14ac:dyDescent="0.25">
      <c r="A288">
        <v>324</v>
      </c>
      <c r="B288">
        <v>325</v>
      </c>
      <c r="C288">
        <v>326</v>
      </c>
      <c r="D288">
        <v>0</v>
      </c>
      <c r="E288" t="e">
        <f t="shared" si="24"/>
        <v>#N/A</v>
      </c>
      <c r="G288" t="b">
        <f t="shared" si="25"/>
        <v>0</v>
      </c>
      <c r="H288" t="str">
        <f t="shared" si="26"/>
        <v>TURN_324_325_326</v>
      </c>
      <c r="I288" t="e">
        <f t="shared" ca="1" si="27"/>
        <v>#REF!</v>
      </c>
      <c r="J288">
        <f t="shared" ca="1" si="28"/>
        <v>0</v>
      </c>
      <c r="K288" t="str">
        <f t="shared" ca="1" si="29"/>
        <v>324,325,326,TURN_324_325_326,0</v>
      </c>
    </row>
    <row r="289" spans="1:11" hidden="1" x14ac:dyDescent="0.25">
      <c r="A289">
        <v>324</v>
      </c>
      <c r="B289">
        <v>325</v>
      </c>
      <c r="C289">
        <v>327</v>
      </c>
      <c r="D289">
        <v>0</v>
      </c>
      <c r="E289" t="e">
        <f t="shared" si="24"/>
        <v>#N/A</v>
      </c>
      <c r="G289" t="b">
        <f t="shared" si="25"/>
        <v>0</v>
      </c>
      <c r="H289" t="str">
        <f t="shared" si="26"/>
        <v>TURN_324_325_327</v>
      </c>
      <c r="I289" t="e">
        <f t="shared" ca="1" si="27"/>
        <v>#REF!</v>
      </c>
      <c r="J289">
        <f t="shared" ca="1" si="28"/>
        <v>0</v>
      </c>
      <c r="K289" t="str">
        <f t="shared" ca="1" si="29"/>
        <v>324,325,327,TURN_324_325_327,0</v>
      </c>
    </row>
    <row r="290" spans="1:11" x14ac:dyDescent="0.25">
      <c r="A290">
        <v>322</v>
      </c>
      <c r="B290">
        <v>323</v>
      </c>
      <c r="C290">
        <v>324</v>
      </c>
      <c r="D290">
        <v>0</v>
      </c>
      <c r="E290">
        <f t="shared" si="24"/>
        <v>8</v>
      </c>
      <c r="G290" t="b">
        <f t="shared" si="25"/>
        <v>0</v>
      </c>
      <c r="H290" t="str">
        <f t="shared" si="26"/>
        <v>TURN_322_323_324</v>
      </c>
      <c r="I290" t="e">
        <f t="shared" ca="1" si="27"/>
        <v>#REF!</v>
      </c>
      <c r="J290">
        <f t="shared" ca="1" si="28"/>
        <v>0</v>
      </c>
      <c r="K290" t="str">
        <f t="shared" ca="1" si="29"/>
        <v>322,323,324,TURN_322_323_324,0</v>
      </c>
    </row>
    <row r="291" spans="1:11" x14ac:dyDescent="0.25">
      <c r="A291">
        <v>322</v>
      </c>
      <c r="B291">
        <v>323</v>
      </c>
      <c r="C291">
        <v>405</v>
      </c>
      <c r="D291">
        <v>0</v>
      </c>
      <c r="E291">
        <f t="shared" si="24"/>
        <v>8</v>
      </c>
      <c r="G291" t="b">
        <f t="shared" si="25"/>
        <v>0</v>
      </c>
      <c r="H291" t="str">
        <f t="shared" si="26"/>
        <v>TURN_322_323_405</v>
      </c>
      <c r="I291">
        <f t="shared" ca="1" si="27"/>
        <v>200</v>
      </c>
      <c r="J291">
        <f t="shared" ca="1" si="28"/>
        <v>200</v>
      </c>
      <c r="K291" t="str">
        <f t="shared" ca="1" si="29"/>
        <v>322,323,405,TURN_322_323_405,200</v>
      </c>
    </row>
    <row r="292" spans="1:11" x14ac:dyDescent="0.25">
      <c r="A292">
        <v>322</v>
      </c>
      <c r="B292">
        <v>323</v>
      </c>
      <c r="C292">
        <v>510</v>
      </c>
      <c r="D292">
        <v>0</v>
      </c>
      <c r="E292">
        <f t="shared" si="24"/>
        <v>8</v>
      </c>
      <c r="G292" t="b">
        <f t="shared" si="25"/>
        <v>0</v>
      </c>
      <c r="H292" t="str">
        <f t="shared" si="26"/>
        <v>TURN_322_323_510</v>
      </c>
      <c r="I292">
        <f t="shared" ca="1" si="27"/>
        <v>450</v>
      </c>
      <c r="J292">
        <f t="shared" ca="1" si="28"/>
        <v>450</v>
      </c>
      <c r="K292" t="str">
        <f t="shared" ca="1" si="29"/>
        <v>322,323,510,TURN_322_323_510,450</v>
      </c>
    </row>
    <row r="293" spans="1:11" hidden="1" x14ac:dyDescent="0.25">
      <c r="A293">
        <v>322</v>
      </c>
      <c r="B293">
        <v>324</v>
      </c>
      <c r="C293">
        <v>325</v>
      </c>
      <c r="D293">
        <v>0</v>
      </c>
      <c r="E293" t="e">
        <f t="shared" si="24"/>
        <v>#N/A</v>
      </c>
      <c r="G293" t="b">
        <f t="shared" si="25"/>
        <v>0</v>
      </c>
      <c r="H293" t="str">
        <f t="shared" si="26"/>
        <v>TURN_322_324_325</v>
      </c>
      <c r="I293" t="e">
        <f t="shared" ca="1" si="27"/>
        <v>#REF!</v>
      </c>
      <c r="J293">
        <f t="shared" ca="1" si="28"/>
        <v>0</v>
      </c>
      <c r="K293" t="str">
        <f t="shared" ca="1" si="29"/>
        <v>322,324,325,TURN_322_324_325,0</v>
      </c>
    </row>
    <row r="294" spans="1:11" hidden="1" x14ac:dyDescent="0.25">
      <c r="A294">
        <v>133</v>
      </c>
      <c r="B294">
        <v>136</v>
      </c>
      <c r="C294">
        <v>137</v>
      </c>
      <c r="D294">
        <v>0</v>
      </c>
      <c r="E294" t="e">
        <f t="shared" si="24"/>
        <v>#N/A</v>
      </c>
      <c r="G294" t="b">
        <f t="shared" si="25"/>
        <v>0</v>
      </c>
      <c r="H294" t="str">
        <f t="shared" si="26"/>
        <v>TURN_133_136_137</v>
      </c>
      <c r="I294" t="e">
        <f t="shared" ca="1" si="27"/>
        <v>#REF!</v>
      </c>
      <c r="J294">
        <f t="shared" ca="1" si="28"/>
        <v>0</v>
      </c>
      <c r="K294" t="str">
        <f t="shared" ca="1" si="29"/>
        <v>133,136,137,TURN_133_136_137,0</v>
      </c>
    </row>
    <row r="295" spans="1:11" hidden="1" x14ac:dyDescent="0.25">
      <c r="A295">
        <v>131</v>
      </c>
      <c r="B295">
        <v>132</v>
      </c>
      <c r="C295">
        <v>133</v>
      </c>
      <c r="D295">
        <v>0</v>
      </c>
      <c r="E295" t="e">
        <f t="shared" si="24"/>
        <v>#N/A</v>
      </c>
      <c r="G295" t="b">
        <f t="shared" si="25"/>
        <v>0</v>
      </c>
      <c r="H295" t="str">
        <f t="shared" si="26"/>
        <v>TURN_131_132_133</v>
      </c>
      <c r="I295" t="e">
        <f t="shared" ca="1" si="27"/>
        <v>#REF!</v>
      </c>
      <c r="J295">
        <f t="shared" ca="1" si="28"/>
        <v>0</v>
      </c>
      <c r="K295" t="str">
        <f t="shared" ca="1" si="29"/>
        <v>131,132,133,TURN_131_132_133,0</v>
      </c>
    </row>
    <row r="296" spans="1:11" hidden="1" x14ac:dyDescent="0.25">
      <c r="A296">
        <v>129</v>
      </c>
      <c r="B296">
        <v>132</v>
      </c>
      <c r="C296">
        <v>133</v>
      </c>
      <c r="D296">
        <v>0</v>
      </c>
      <c r="E296" t="e">
        <f t="shared" si="24"/>
        <v>#N/A</v>
      </c>
      <c r="G296" t="b">
        <f t="shared" si="25"/>
        <v>0</v>
      </c>
      <c r="H296" t="str">
        <f t="shared" si="26"/>
        <v>TURN_129_132_133</v>
      </c>
      <c r="I296" t="e">
        <f t="shared" ca="1" si="27"/>
        <v>#REF!</v>
      </c>
      <c r="J296">
        <f t="shared" ca="1" si="28"/>
        <v>0</v>
      </c>
      <c r="K296" t="str">
        <f t="shared" ca="1" si="29"/>
        <v>129,132,133,TURN_129_132_133,0</v>
      </c>
    </row>
    <row r="297" spans="1:11" x14ac:dyDescent="0.25">
      <c r="A297">
        <v>505</v>
      </c>
      <c r="B297">
        <v>510</v>
      </c>
      <c r="C297">
        <v>323</v>
      </c>
      <c r="D297">
        <v>0</v>
      </c>
      <c r="E297">
        <f t="shared" si="24"/>
        <v>5</v>
      </c>
      <c r="G297" t="b">
        <f t="shared" si="25"/>
        <v>0</v>
      </c>
      <c r="H297" t="str">
        <f t="shared" si="26"/>
        <v>TURN_505_510_323</v>
      </c>
      <c r="I297">
        <f t="shared" ca="1" si="27"/>
        <v>900</v>
      </c>
      <c r="J297">
        <f t="shared" ca="1" si="28"/>
        <v>900</v>
      </c>
      <c r="K297" t="str">
        <f t="shared" ca="1" si="29"/>
        <v>505,510,323,TURN_505_510_323,900</v>
      </c>
    </row>
    <row r="298" spans="1:11" x14ac:dyDescent="0.25">
      <c r="A298">
        <v>505</v>
      </c>
      <c r="B298">
        <v>510</v>
      </c>
      <c r="C298">
        <v>505</v>
      </c>
      <c r="D298">
        <v>0</v>
      </c>
      <c r="E298">
        <f t="shared" si="24"/>
        <v>5</v>
      </c>
      <c r="F298">
        <v>0</v>
      </c>
      <c r="G298" t="b">
        <f t="shared" si="25"/>
        <v>1</v>
      </c>
      <c r="H298" t="str">
        <f t="shared" si="26"/>
        <v>TURN_505_510_505</v>
      </c>
      <c r="I298" t="e">
        <f t="shared" ca="1" si="27"/>
        <v>#REF!</v>
      </c>
      <c r="J298">
        <f t="shared" ca="1" si="28"/>
        <v>0</v>
      </c>
      <c r="K298" t="str">
        <f t="shared" ca="1" si="29"/>
        <v>505,510,505,TURN_505_510_505,0</v>
      </c>
    </row>
    <row r="299" spans="1:11" x14ac:dyDescent="0.25">
      <c r="A299">
        <v>505</v>
      </c>
      <c r="B299">
        <v>510</v>
      </c>
      <c r="C299">
        <v>509</v>
      </c>
      <c r="D299">
        <v>0</v>
      </c>
      <c r="E299">
        <f t="shared" si="24"/>
        <v>5</v>
      </c>
      <c r="G299" t="b">
        <f t="shared" si="25"/>
        <v>0</v>
      </c>
      <c r="H299" t="str">
        <f t="shared" si="26"/>
        <v>TURN_505_510_509</v>
      </c>
      <c r="I299">
        <f t="shared" ca="1" si="27"/>
        <v>50</v>
      </c>
      <c r="J299">
        <f t="shared" ca="1" si="28"/>
        <v>50</v>
      </c>
      <c r="K299" t="str">
        <f t="shared" ca="1" si="29"/>
        <v>505,510,509,TURN_505_510_509,50</v>
      </c>
    </row>
    <row r="300" spans="1:11" x14ac:dyDescent="0.25">
      <c r="A300">
        <v>505</v>
      </c>
      <c r="B300">
        <v>510</v>
      </c>
      <c r="C300">
        <v>511</v>
      </c>
      <c r="D300">
        <v>0</v>
      </c>
      <c r="E300">
        <f t="shared" si="24"/>
        <v>5</v>
      </c>
      <c r="G300" t="b">
        <f t="shared" si="25"/>
        <v>0</v>
      </c>
      <c r="H300" t="str">
        <f t="shared" si="26"/>
        <v>TURN_505_510_511</v>
      </c>
      <c r="I300">
        <f t="shared" ca="1" si="27"/>
        <v>100</v>
      </c>
      <c r="J300">
        <f t="shared" ca="1" si="28"/>
        <v>100</v>
      </c>
      <c r="K300" t="str">
        <f t="shared" ca="1" si="29"/>
        <v>505,510,511,TURN_505_510_511,100</v>
      </c>
    </row>
    <row r="301" spans="1:11" x14ac:dyDescent="0.25">
      <c r="A301">
        <v>505</v>
      </c>
      <c r="B301">
        <v>504</v>
      </c>
      <c r="C301">
        <v>509</v>
      </c>
      <c r="D301">
        <v>0</v>
      </c>
      <c r="E301">
        <f t="shared" si="24"/>
        <v>1</v>
      </c>
      <c r="G301" t="b">
        <f t="shared" si="25"/>
        <v>0</v>
      </c>
      <c r="H301" t="str">
        <f t="shared" si="26"/>
        <v>TURN_505_504_509</v>
      </c>
      <c r="I301">
        <f t="shared" ca="1" si="27"/>
        <v>100</v>
      </c>
      <c r="J301">
        <f t="shared" ca="1" si="28"/>
        <v>100</v>
      </c>
      <c r="K301" t="str">
        <f t="shared" ca="1" si="29"/>
        <v>505,504,509,TURN_505_504_509,100</v>
      </c>
    </row>
    <row r="302" spans="1:11" x14ac:dyDescent="0.25">
      <c r="A302">
        <v>505</v>
      </c>
      <c r="B302">
        <v>504</v>
      </c>
      <c r="C302">
        <v>500</v>
      </c>
      <c r="D302">
        <v>0</v>
      </c>
      <c r="E302">
        <f t="shared" si="24"/>
        <v>1</v>
      </c>
      <c r="G302" t="b">
        <f t="shared" si="25"/>
        <v>0</v>
      </c>
      <c r="H302" t="str">
        <f t="shared" si="26"/>
        <v>TURN_505_504_500</v>
      </c>
      <c r="I302">
        <f t="shared" ca="1" si="27"/>
        <v>100</v>
      </c>
      <c r="J302">
        <f t="shared" ca="1" si="28"/>
        <v>100</v>
      </c>
      <c r="K302" t="str">
        <f t="shared" ca="1" si="29"/>
        <v>505,504,500,TURN_505_504_500,100</v>
      </c>
    </row>
    <row r="303" spans="1:11" x14ac:dyDescent="0.25">
      <c r="A303">
        <v>505</v>
      </c>
      <c r="B303">
        <v>504</v>
      </c>
      <c r="C303">
        <v>110</v>
      </c>
      <c r="D303">
        <v>0</v>
      </c>
      <c r="E303">
        <f t="shared" si="24"/>
        <v>1</v>
      </c>
      <c r="G303" t="b">
        <f t="shared" si="25"/>
        <v>0</v>
      </c>
      <c r="H303" t="str">
        <f t="shared" si="26"/>
        <v>TURN_505_504_110</v>
      </c>
      <c r="I303">
        <f t="shared" ca="1" si="27"/>
        <v>800</v>
      </c>
      <c r="J303">
        <f t="shared" ca="1" si="28"/>
        <v>800</v>
      </c>
      <c r="K303" t="str">
        <f t="shared" ca="1" si="29"/>
        <v>505,504,110,TURN_505_504_110,800</v>
      </c>
    </row>
    <row r="304" spans="1:11" x14ac:dyDescent="0.25">
      <c r="A304">
        <v>505</v>
      </c>
      <c r="B304">
        <v>504</v>
      </c>
      <c r="C304">
        <v>505</v>
      </c>
      <c r="D304">
        <v>0</v>
      </c>
      <c r="E304">
        <f t="shared" si="24"/>
        <v>1</v>
      </c>
      <c r="F304">
        <v>0</v>
      </c>
      <c r="G304" t="b">
        <f t="shared" si="25"/>
        <v>1</v>
      </c>
      <c r="H304" t="str">
        <f t="shared" si="26"/>
        <v>TURN_505_504_505</v>
      </c>
      <c r="I304" t="e">
        <f t="shared" ca="1" si="27"/>
        <v>#REF!</v>
      </c>
      <c r="J304">
        <f t="shared" ca="1" si="28"/>
        <v>0</v>
      </c>
      <c r="K304" t="str">
        <f t="shared" ca="1" si="29"/>
        <v>505,504,505,TURN_505_504_505,0</v>
      </c>
    </row>
    <row r="305" spans="1:11" x14ac:dyDescent="0.25">
      <c r="A305">
        <v>505</v>
      </c>
      <c r="B305">
        <v>506</v>
      </c>
      <c r="C305">
        <v>511</v>
      </c>
      <c r="D305">
        <v>0</v>
      </c>
      <c r="E305">
        <f t="shared" si="24"/>
        <v>3</v>
      </c>
      <c r="G305" t="b">
        <f t="shared" si="25"/>
        <v>0</v>
      </c>
      <c r="H305" t="str">
        <f t="shared" si="26"/>
        <v>TURN_505_506_511</v>
      </c>
      <c r="I305">
        <f t="shared" ca="1" si="27"/>
        <v>250</v>
      </c>
      <c r="J305">
        <f t="shared" ca="1" si="28"/>
        <v>250</v>
      </c>
      <c r="K305" t="str">
        <f t="shared" ca="1" si="29"/>
        <v>505,506,511,TURN_505_506_511,250</v>
      </c>
    </row>
    <row r="306" spans="1:11" x14ac:dyDescent="0.25">
      <c r="A306">
        <v>505</v>
      </c>
      <c r="B306">
        <v>506</v>
      </c>
      <c r="C306">
        <v>502</v>
      </c>
      <c r="D306">
        <v>0</v>
      </c>
      <c r="E306">
        <f t="shared" si="24"/>
        <v>3</v>
      </c>
      <c r="G306" t="b">
        <f t="shared" si="25"/>
        <v>0</v>
      </c>
      <c r="H306" t="str">
        <f t="shared" si="26"/>
        <v>TURN_505_506_502</v>
      </c>
      <c r="I306">
        <f t="shared" ca="1" si="27"/>
        <v>150</v>
      </c>
      <c r="J306">
        <f t="shared" ca="1" si="28"/>
        <v>150</v>
      </c>
      <c r="K306" t="str">
        <f t="shared" ca="1" si="29"/>
        <v>505,506,502,TURN_505_506_502,150</v>
      </c>
    </row>
    <row r="307" spans="1:11" x14ac:dyDescent="0.25">
      <c r="A307">
        <v>505</v>
      </c>
      <c r="B307">
        <v>506</v>
      </c>
      <c r="C307">
        <v>505</v>
      </c>
      <c r="D307">
        <v>0</v>
      </c>
      <c r="E307">
        <f t="shared" si="24"/>
        <v>3</v>
      </c>
      <c r="F307">
        <v>0</v>
      </c>
      <c r="G307" t="b">
        <f t="shared" si="25"/>
        <v>1</v>
      </c>
      <c r="H307" t="str">
        <f t="shared" si="26"/>
        <v>TURN_505_506_505</v>
      </c>
      <c r="I307" t="e">
        <f t="shared" ca="1" si="27"/>
        <v>#REF!</v>
      </c>
      <c r="J307">
        <f t="shared" ca="1" si="28"/>
        <v>0</v>
      </c>
      <c r="K307" t="str">
        <f t="shared" ca="1" si="29"/>
        <v>505,506,505,TURN_505_506_505,0</v>
      </c>
    </row>
    <row r="308" spans="1:11" x14ac:dyDescent="0.25">
      <c r="A308">
        <v>505</v>
      </c>
      <c r="B308">
        <v>506</v>
      </c>
      <c r="C308">
        <v>507</v>
      </c>
      <c r="D308">
        <v>0</v>
      </c>
      <c r="E308">
        <f t="shared" si="24"/>
        <v>3</v>
      </c>
      <c r="G308" t="b">
        <f t="shared" si="25"/>
        <v>0</v>
      </c>
      <c r="H308" t="str">
        <f t="shared" si="26"/>
        <v>TURN_505_506_507</v>
      </c>
      <c r="I308">
        <f t="shared" ca="1" si="27"/>
        <v>1000</v>
      </c>
      <c r="J308">
        <f t="shared" ca="1" si="28"/>
        <v>1000</v>
      </c>
      <c r="K308" t="str">
        <f t="shared" ca="1" si="29"/>
        <v>505,506,507,TURN_505_506_507,1000</v>
      </c>
    </row>
    <row r="309" spans="1:11" x14ac:dyDescent="0.25">
      <c r="A309">
        <v>504</v>
      </c>
      <c r="B309">
        <v>509</v>
      </c>
      <c r="C309">
        <v>320</v>
      </c>
      <c r="D309">
        <v>0</v>
      </c>
      <c r="E309">
        <f t="shared" si="24"/>
        <v>4</v>
      </c>
      <c r="G309" t="b">
        <f t="shared" si="25"/>
        <v>0</v>
      </c>
      <c r="H309" t="str">
        <f t="shared" si="26"/>
        <v>TURN_504_509_320</v>
      </c>
      <c r="I309">
        <f t="shared" ca="1" si="27"/>
        <v>1000</v>
      </c>
      <c r="J309">
        <f t="shared" ca="1" si="28"/>
        <v>1000</v>
      </c>
      <c r="K309" t="str">
        <f t="shared" ca="1" si="29"/>
        <v>504,509,320,TURN_504_509_320,1000</v>
      </c>
    </row>
    <row r="310" spans="1:11" x14ac:dyDescent="0.25">
      <c r="A310">
        <v>504</v>
      </c>
      <c r="B310">
        <v>509</v>
      </c>
      <c r="C310">
        <v>504</v>
      </c>
      <c r="D310">
        <v>0</v>
      </c>
      <c r="E310">
        <f t="shared" si="24"/>
        <v>4</v>
      </c>
      <c r="F310">
        <v>0</v>
      </c>
      <c r="G310" t="b">
        <f t="shared" si="25"/>
        <v>1</v>
      </c>
      <c r="H310" t="str">
        <f t="shared" si="26"/>
        <v>TURN_504_509_504</v>
      </c>
      <c r="I310" t="e">
        <f t="shared" ca="1" si="27"/>
        <v>#REF!</v>
      </c>
      <c r="J310">
        <f t="shared" ca="1" si="28"/>
        <v>0</v>
      </c>
      <c r="K310" t="str">
        <f t="shared" ca="1" si="29"/>
        <v>504,509,504,TURN_504_509_504,0</v>
      </c>
    </row>
    <row r="311" spans="1:11" x14ac:dyDescent="0.25">
      <c r="A311">
        <v>504</v>
      </c>
      <c r="B311">
        <v>509</v>
      </c>
      <c r="C311">
        <v>113</v>
      </c>
      <c r="D311">
        <v>0</v>
      </c>
      <c r="E311">
        <f t="shared" si="24"/>
        <v>4</v>
      </c>
      <c r="G311" t="b">
        <f t="shared" si="25"/>
        <v>0</v>
      </c>
      <c r="H311" t="str">
        <f t="shared" si="26"/>
        <v>TURN_504_509_113</v>
      </c>
      <c r="I311">
        <f t="shared" ca="1" si="27"/>
        <v>50</v>
      </c>
      <c r="J311">
        <f t="shared" ca="1" si="28"/>
        <v>50</v>
      </c>
      <c r="K311" t="str">
        <f t="shared" ca="1" si="29"/>
        <v>504,509,113,TURN_504_509_113,50</v>
      </c>
    </row>
    <row r="312" spans="1:11" x14ac:dyDescent="0.25">
      <c r="A312">
        <v>504</v>
      </c>
      <c r="B312">
        <v>509</v>
      </c>
      <c r="C312">
        <v>510</v>
      </c>
      <c r="D312">
        <v>0</v>
      </c>
      <c r="E312">
        <f t="shared" si="24"/>
        <v>4</v>
      </c>
      <c r="G312" t="b">
        <f t="shared" si="25"/>
        <v>0</v>
      </c>
      <c r="H312" t="str">
        <f t="shared" si="26"/>
        <v>TURN_504_509_510</v>
      </c>
      <c r="I312">
        <f t="shared" ca="1" si="27"/>
        <v>100</v>
      </c>
      <c r="J312">
        <f t="shared" ca="1" si="28"/>
        <v>100</v>
      </c>
      <c r="K312" t="str">
        <f t="shared" ca="1" si="29"/>
        <v>504,509,510,TURN_504_509_510,100</v>
      </c>
    </row>
    <row r="313" spans="1:11" x14ac:dyDescent="0.25">
      <c r="A313">
        <v>504</v>
      </c>
      <c r="B313">
        <v>110</v>
      </c>
      <c r="C313">
        <v>111</v>
      </c>
      <c r="D313">
        <v>0</v>
      </c>
      <c r="E313">
        <f t="shared" si="24"/>
        <v>16</v>
      </c>
      <c r="F313">
        <v>300</v>
      </c>
      <c r="G313" t="b">
        <f t="shared" si="25"/>
        <v>0</v>
      </c>
      <c r="H313" t="str">
        <f t="shared" si="26"/>
        <v>TURN_504_110_111</v>
      </c>
      <c r="I313">
        <f t="shared" ca="1" si="27"/>
        <v>250</v>
      </c>
      <c r="J313">
        <f t="shared" ca="1" si="28"/>
        <v>250</v>
      </c>
      <c r="K313" t="str">
        <f t="shared" ca="1" si="29"/>
        <v>504,110,111,TURN_504_110_111,250</v>
      </c>
    </row>
    <row r="314" spans="1:11" x14ac:dyDescent="0.25">
      <c r="A314">
        <v>504</v>
      </c>
      <c r="B314">
        <v>110</v>
      </c>
      <c r="C314">
        <v>227</v>
      </c>
      <c r="D314">
        <v>0</v>
      </c>
      <c r="E314">
        <f t="shared" si="24"/>
        <v>16</v>
      </c>
      <c r="G314" t="b">
        <f t="shared" si="25"/>
        <v>0</v>
      </c>
      <c r="H314" t="str">
        <f t="shared" si="26"/>
        <v>TURN_504_110_227</v>
      </c>
      <c r="I314">
        <f t="shared" ca="1" si="27"/>
        <v>950</v>
      </c>
      <c r="J314">
        <f t="shared" ca="1" si="28"/>
        <v>950</v>
      </c>
      <c r="K314" t="str">
        <f t="shared" ca="1" si="29"/>
        <v>504,110,227,TURN_504_110_227,950</v>
      </c>
    </row>
    <row r="315" spans="1:11" x14ac:dyDescent="0.25">
      <c r="A315">
        <v>504</v>
      </c>
      <c r="B315">
        <v>110</v>
      </c>
      <c r="C315">
        <v>504</v>
      </c>
      <c r="D315">
        <v>0</v>
      </c>
      <c r="E315">
        <f t="shared" si="24"/>
        <v>16</v>
      </c>
      <c r="F315">
        <v>0</v>
      </c>
      <c r="G315" t="b">
        <f t="shared" si="25"/>
        <v>1</v>
      </c>
      <c r="H315" t="str">
        <f t="shared" si="26"/>
        <v>TURN_504_110_504</v>
      </c>
      <c r="I315" t="e">
        <f t="shared" ca="1" si="27"/>
        <v>#REF!</v>
      </c>
      <c r="J315">
        <f t="shared" ca="1" si="28"/>
        <v>0</v>
      </c>
      <c r="K315" t="str">
        <f t="shared" ca="1" si="29"/>
        <v>504,110,504,TURN_504_110_504,0</v>
      </c>
    </row>
    <row r="316" spans="1:11" x14ac:dyDescent="0.25">
      <c r="A316">
        <v>504</v>
      </c>
      <c r="B316">
        <v>505</v>
      </c>
      <c r="C316">
        <v>510</v>
      </c>
      <c r="D316">
        <v>0</v>
      </c>
      <c r="E316">
        <f t="shared" si="24"/>
        <v>2</v>
      </c>
      <c r="G316" t="b">
        <f t="shared" si="25"/>
        <v>0</v>
      </c>
      <c r="H316" t="str">
        <f t="shared" si="26"/>
        <v>TURN_504_505_510</v>
      </c>
      <c r="I316">
        <f t="shared" ca="1" si="27"/>
        <v>100</v>
      </c>
      <c r="J316">
        <f t="shared" ca="1" si="28"/>
        <v>100</v>
      </c>
      <c r="K316" t="str">
        <f t="shared" ca="1" si="29"/>
        <v>504,505,510,TURN_504_505_510,100</v>
      </c>
    </row>
    <row r="317" spans="1:11" x14ac:dyDescent="0.25">
      <c r="A317">
        <v>504</v>
      </c>
      <c r="B317">
        <v>505</v>
      </c>
      <c r="C317">
        <v>501</v>
      </c>
      <c r="D317">
        <v>0</v>
      </c>
      <c r="E317">
        <f t="shared" si="24"/>
        <v>2</v>
      </c>
      <c r="G317" t="b">
        <f t="shared" si="25"/>
        <v>0</v>
      </c>
      <c r="H317" t="str">
        <f t="shared" si="26"/>
        <v>TURN_504_505_501</v>
      </c>
      <c r="I317">
        <f t="shared" ca="1" si="27"/>
        <v>300</v>
      </c>
      <c r="J317">
        <f t="shared" ca="1" si="28"/>
        <v>300</v>
      </c>
      <c r="K317" t="str">
        <f t="shared" ca="1" si="29"/>
        <v>504,505,501,TURN_504_505_501,300</v>
      </c>
    </row>
    <row r="318" spans="1:11" x14ac:dyDescent="0.25">
      <c r="A318">
        <v>504</v>
      </c>
      <c r="B318">
        <v>505</v>
      </c>
      <c r="C318">
        <v>504</v>
      </c>
      <c r="D318">
        <v>0</v>
      </c>
      <c r="E318">
        <f t="shared" si="24"/>
        <v>2</v>
      </c>
      <c r="F318">
        <v>0</v>
      </c>
      <c r="G318" t="b">
        <f t="shared" si="25"/>
        <v>1</v>
      </c>
      <c r="H318" t="str">
        <f t="shared" si="26"/>
        <v>TURN_504_505_504</v>
      </c>
      <c r="I318" t="e">
        <f t="shared" ca="1" si="27"/>
        <v>#REF!</v>
      </c>
      <c r="J318">
        <f t="shared" ca="1" si="28"/>
        <v>0</v>
      </c>
      <c r="K318" t="str">
        <f t="shared" ca="1" si="29"/>
        <v>504,505,504,TURN_504_505_504,0</v>
      </c>
    </row>
    <row r="319" spans="1:11" x14ac:dyDescent="0.25">
      <c r="A319">
        <v>504</v>
      </c>
      <c r="B319">
        <v>505</v>
      </c>
      <c r="C319">
        <v>506</v>
      </c>
      <c r="D319">
        <v>0</v>
      </c>
      <c r="E319">
        <f t="shared" si="24"/>
        <v>2</v>
      </c>
      <c r="G319" t="b">
        <f t="shared" si="25"/>
        <v>0</v>
      </c>
      <c r="H319" t="str">
        <f t="shared" si="26"/>
        <v>TURN_504_505_506</v>
      </c>
      <c r="I319">
        <f t="shared" ca="1" si="27"/>
        <v>1000</v>
      </c>
      <c r="J319">
        <f t="shared" ca="1" si="28"/>
        <v>1000</v>
      </c>
      <c r="K319" t="str">
        <f t="shared" ca="1" si="29"/>
        <v>504,505,506,TURN_504_505_506,1000</v>
      </c>
    </row>
    <row r="320" spans="1:11" x14ac:dyDescent="0.25">
      <c r="A320">
        <v>500</v>
      </c>
      <c r="B320">
        <v>504</v>
      </c>
      <c r="C320">
        <v>509</v>
      </c>
      <c r="D320">
        <v>0</v>
      </c>
      <c r="E320">
        <f t="shared" si="24"/>
        <v>1</v>
      </c>
      <c r="G320" t="b">
        <f t="shared" si="25"/>
        <v>0</v>
      </c>
      <c r="H320" t="str">
        <f t="shared" si="26"/>
        <v>TURN_500_504_509</v>
      </c>
      <c r="I320">
        <f t="shared" ca="1" si="27"/>
        <v>1000</v>
      </c>
      <c r="J320">
        <f t="shared" ca="1" si="28"/>
        <v>1000</v>
      </c>
      <c r="K320" t="str">
        <f t="shared" ca="1" si="29"/>
        <v>500,504,509,TURN_500_504_509,1000</v>
      </c>
    </row>
    <row r="321" spans="1:11" x14ac:dyDescent="0.25">
      <c r="A321">
        <v>500</v>
      </c>
      <c r="B321">
        <v>504</v>
      </c>
      <c r="C321">
        <v>500</v>
      </c>
      <c r="D321">
        <v>0</v>
      </c>
      <c r="E321">
        <f t="shared" si="24"/>
        <v>1</v>
      </c>
      <c r="F321">
        <v>0</v>
      </c>
      <c r="G321" t="b">
        <f t="shared" si="25"/>
        <v>1</v>
      </c>
      <c r="H321" t="str">
        <f t="shared" si="26"/>
        <v>TURN_500_504_500</v>
      </c>
      <c r="I321" t="e">
        <f t="shared" ca="1" si="27"/>
        <v>#REF!</v>
      </c>
      <c r="J321">
        <f t="shared" ca="1" si="28"/>
        <v>0</v>
      </c>
      <c r="K321" t="str">
        <f t="shared" ca="1" si="29"/>
        <v>500,504,500,TURN_500_504_500,0</v>
      </c>
    </row>
    <row r="322" spans="1:11" x14ac:dyDescent="0.25">
      <c r="A322">
        <v>500</v>
      </c>
      <c r="B322">
        <v>504</v>
      </c>
      <c r="C322">
        <v>110</v>
      </c>
      <c r="D322">
        <v>0</v>
      </c>
      <c r="E322">
        <f t="shared" ref="E322:E347" si="30">MATCH(B322,$M$3:$M$18,0)</f>
        <v>1</v>
      </c>
      <c r="G322" t="b">
        <f t="shared" ref="G322:G347" si="31">A322=C322</f>
        <v>0</v>
      </c>
      <c r="H322" t="str">
        <f t="shared" si="26"/>
        <v>TURN_500_504_110</v>
      </c>
      <c r="I322">
        <f t="shared" ca="1" si="27"/>
        <v>500</v>
      </c>
      <c r="J322">
        <f t="shared" ca="1" si="28"/>
        <v>500</v>
      </c>
      <c r="K322" t="str">
        <f t="shared" ca="1" si="29"/>
        <v>500,504,110,TURN_500_504_110,500</v>
      </c>
    </row>
    <row r="323" spans="1:11" x14ac:dyDescent="0.25">
      <c r="A323">
        <v>500</v>
      </c>
      <c r="B323">
        <v>504</v>
      </c>
      <c r="C323">
        <v>505</v>
      </c>
      <c r="D323">
        <v>0</v>
      </c>
      <c r="E323">
        <f t="shared" si="30"/>
        <v>1</v>
      </c>
      <c r="G323" t="b">
        <f t="shared" si="31"/>
        <v>0</v>
      </c>
      <c r="H323" t="str">
        <f t="shared" ref="H323:H347" si="32">"TURN_"&amp;A323&amp;"_"&amp;B323&amp;"_"&amp;C323</f>
        <v>TURN_500_504_505</v>
      </c>
      <c r="I323">
        <f t="shared" ref="I323:I347" ca="1" si="33">INDIRECT("targets!"&amp;H323)</f>
        <v>300</v>
      </c>
      <c r="J323">
        <f t="shared" ref="J323:J347" ca="1" si="34">IFERROR(I323,0)</f>
        <v>300</v>
      </c>
      <c r="K323" t="str">
        <f t="shared" ref="K323:K347" ca="1" si="35">CONCATENATE(A323,",",B323,",",C323,",",H323,",",J323)</f>
        <v>500,504,505,TURN_500_504_505,300</v>
      </c>
    </row>
    <row r="324" spans="1:11" hidden="1" x14ac:dyDescent="0.25">
      <c r="A324">
        <v>326</v>
      </c>
      <c r="B324">
        <v>327</v>
      </c>
      <c r="C324">
        <v>328</v>
      </c>
      <c r="D324">
        <v>0</v>
      </c>
      <c r="E324" t="e">
        <f t="shared" si="30"/>
        <v>#N/A</v>
      </c>
      <c r="G324" t="b">
        <f t="shared" si="31"/>
        <v>0</v>
      </c>
      <c r="H324" t="str">
        <f t="shared" si="32"/>
        <v>TURN_326_327_328</v>
      </c>
      <c r="I324" t="e">
        <f t="shared" ca="1" si="33"/>
        <v>#REF!</v>
      </c>
      <c r="J324">
        <f t="shared" ca="1" si="34"/>
        <v>0</v>
      </c>
      <c r="K324" t="str">
        <f t="shared" ca="1" si="35"/>
        <v>326,327,328,TURN_326_327_328,0</v>
      </c>
    </row>
    <row r="325" spans="1:11" x14ac:dyDescent="0.25">
      <c r="A325">
        <v>326</v>
      </c>
      <c r="B325">
        <v>402</v>
      </c>
      <c r="C325">
        <v>403</v>
      </c>
      <c r="D325">
        <v>0</v>
      </c>
      <c r="E325">
        <f t="shared" si="30"/>
        <v>12</v>
      </c>
      <c r="G325" t="b">
        <f t="shared" si="31"/>
        <v>0</v>
      </c>
      <c r="H325" t="str">
        <f t="shared" si="32"/>
        <v>TURN_326_402_403</v>
      </c>
      <c r="I325">
        <f t="shared" ca="1" si="33"/>
        <v>100</v>
      </c>
      <c r="J325">
        <f t="shared" ca="1" si="34"/>
        <v>100</v>
      </c>
      <c r="K325" t="str">
        <f t="shared" ca="1" si="35"/>
        <v>326,402,403,TURN_326_402_403,100</v>
      </c>
    </row>
    <row r="326" spans="1:11" x14ac:dyDescent="0.25">
      <c r="A326">
        <v>326</v>
      </c>
      <c r="B326">
        <v>402</v>
      </c>
      <c r="C326">
        <v>326</v>
      </c>
      <c r="D326">
        <v>0</v>
      </c>
      <c r="E326">
        <f t="shared" si="30"/>
        <v>12</v>
      </c>
      <c r="F326">
        <v>0</v>
      </c>
      <c r="G326" t="b">
        <f t="shared" si="31"/>
        <v>1</v>
      </c>
      <c r="H326" t="str">
        <f t="shared" si="32"/>
        <v>TURN_326_402_326</v>
      </c>
      <c r="I326" t="e">
        <f t="shared" ca="1" si="33"/>
        <v>#REF!</v>
      </c>
      <c r="J326">
        <f t="shared" ca="1" si="34"/>
        <v>0</v>
      </c>
      <c r="K326" t="str">
        <f t="shared" ca="1" si="35"/>
        <v>326,402,326,TURN_326_402_326,0</v>
      </c>
    </row>
    <row r="327" spans="1:11" x14ac:dyDescent="0.25">
      <c r="A327">
        <v>326</v>
      </c>
      <c r="B327">
        <v>402</v>
      </c>
      <c r="C327">
        <v>515</v>
      </c>
      <c r="D327">
        <v>0</v>
      </c>
      <c r="E327">
        <f t="shared" si="30"/>
        <v>12</v>
      </c>
      <c r="G327" t="b">
        <f t="shared" si="31"/>
        <v>0</v>
      </c>
      <c r="H327" t="str">
        <f t="shared" si="32"/>
        <v>TURN_326_402_515</v>
      </c>
      <c r="I327">
        <f t="shared" ca="1" si="33"/>
        <v>1400</v>
      </c>
      <c r="J327">
        <f t="shared" ca="1" si="34"/>
        <v>1400</v>
      </c>
      <c r="K327" t="str">
        <f t="shared" ca="1" si="35"/>
        <v>326,402,515,TURN_326_402_515,1400</v>
      </c>
    </row>
    <row r="328" spans="1:11" x14ac:dyDescent="0.25">
      <c r="A328">
        <v>326</v>
      </c>
      <c r="B328">
        <v>511</v>
      </c>
      <c r="C328">
        <v>326</v>
      </c>
      <c r="D328">
        <v>0</v>
      </c>
      <c r="E328">
        <f t="shared" si="30"/>
        <v>6</v>
      </c>
      <c r="F328">
        <v>0</v>
      </c>
      <c r="G328" t="b">
        <f t="shared" si="31"/>
        <v>1</v>
      </c>
      <c r="H328" t="str">
        <f t="shared" si="32"/>
        <v>TURN_326_511_326</v>
      </c>
      <c r="I328" t="e">
        <f t="shared" ca="1" si="33"/>
        <v>#REF!</v>
      </c>
      <c r="J328">
        <f t="shared" ca="1" si="34"/>
        <v>0</v>
      </c>
      <c r="K328" t="str">
        <f t="shared" ca="1" si="35"/>
        <v>326,511,326,TURN_326_511_326,0</v>
      </c>
    </row>
    <row r="329" spans="1:11" x14ac:dyDescent="0.25">
      <c r="A329">
        <v>326</v>
      </c>
      <c r="B329">
        <v>511</v>
      </c>
      <c r="C329">
        <v>506</v>
      </c>
      <c r="D329">
        <v>0</v>
      </c>
      <c r="E329">
        <f t="shared" si="30"/>
        <v>6</v>
      </c>
      <c r="G329" t="b">
        <f t="shared" si="31"/>
        <v>0</v>
      </c>
      <c r="H329" t="str">
        <f t="shared" si="32"/>
        <v>TURN_326_511_506</v>
      </c>
      <c r="I329">
        <f t="shared" ca="1" si="33"/>
        <v>800</v>
      </c>
      <c r="J329">
        <f t="shared" ca="1" si="34"/>
        <v>800</v>
      </c>
      <c r="K329" t="str">
        <f t="shared" ca="1" si="35"/>
        <v>326,511,506,TURN_326_511_506,800</v>
      </c>
    </row>
    <row r="330" spans="1:11" x14ac:dyDescent="0.25">
      <c r="A330">
        <v>326</v>
      </c>
      <c r="B330">
        <v>511</v>
      </c>
      <c r="C330">
        <v>510</v>
      </c>
      <c r="D330">
        <v>0</v>
      </c>
      <c r="E330">
        <f t="shared" si="30"/>
        <v>6</v>
      </c>
      <c r="G330" t="b">
        <f t="shared" si="31"/>
        <v>0</v>
      </c>
      <c r="H330" t="str">
        <f t="shared" si="32"/>
        <v>TURN_326_511_510</v>
      </c>
      <c r="I330">
        <f t="shared" ca="1" si="33"/>
        <v>200</v>
      </c>
      <c r="J330">
        <f t="shared" ca="1" si="34"/>
        <v>200</v>
      </c>
      <c r="K330" t="str">
        <f t="shared" ca="1" si="35"/>
        <v>326,511,510,TURN_326_511_510,200</v>
      </c>
    </row>
    <row r="331" spans="1:11" x14ac:dyDescent="0.25">
      <c r="A331">
        <v>326</v>
      </c>
      <c r="B331">
        <v>511</v>
      </c>
      <c r="C331">
        <v>512</v>
      </c>
      <c r="D331">
        <v>0</v>
      </c>
      <c r="E331">
        <f t="shared" si="30"/>
        <v>6</v>
      </c>
      <c r="G331" t="b">
        <f t="shared" si="31"/>
        <v>0</v>
      </c>
      <c r="H331" t="str">
        <f t="shared" si="32"/>
        <v>TURN_326_511_512</v>
      </c>
      <c r="I331">
        <f t="shared" ca="1" si="33"/>
        <v>100</v>
      </c>
      <c r="J331">
        <f t="shared" ca="1" si="34"/>
        <v>100</v>
      </c>
      <c r="K331" t="str">
        <f t="shared" ca="1" si="35"/>
        <v>326,511,512,TURN_326_511_512,100</v>
      </c>
    </row>
    <row r="332" spans="1:11" x14ac:dyDescent="0.25">
      <c r="A332">
        <v>506</v>
      </c>
      <c r="B332">
        <v>511</v>
      </c>
      <c r="C332">
        <v>326</v>
      </c>
      <c r="D332">
        <v>0</v>
      </c>
      <c r="E332">
        <f t="shared" si="30"/>
        <v>6</v>
      </c>
      <c r="G332" t="b">
        <f t="shared" si="31"/>
        <v>0</v>
      </c>
      <c r="H332" t="str">
        <f t="shared" si="32"/>
        <v>TURN_506_511_326</v>
      </c>
      <c r="I332">
        <f t="shared" ca="1" si="33"/>
        <v>1200</v>
      </c>
      <c r="J332">
        <f t="shared" ca="1" si="34"/>
        <v>1200</v>
      </c>
      <c r="K332" t="str">
        <f t="shared" ca="1" si="35"/>
        <v>506,511,326,TURN_506_511_326,1200</v>
      </c>
    </row>
    <row r="333" spans="1:11" x14ac:dyDescent="0.25">
      <c r="A333">
        <v>506</v>
      </c>
      <c r="B333">
        <v>511</v>
      </c>
      <c r="C333">
        <v>506</v>
      </c>
      <c r="D333">
        <v>0</v>
      </c>
      <c r="E333">
        <f t="shared" si="30"/>
        <v>6</v>
      </c>
      <c r="F333">
        <v>0</v>
      </c>
      <c r="G333" t="b">
        <f t="shared" si="31"/>
        <v>1</v>
      </c>
      <c r="H333" t="str">
        <f t="shared" si="32"/>
        <v>TURN_506_511_506</v>
      </c>
      <c r="I333" t="e">
        <f t="shared" ca="1" si="33"/>
        <v>#REF!</v>
      </c>
      <c r="J333">
        <f t="shared" ca="1" si="34"/>
        <v>0</v>
      </c>
      <c r="K333" t="str">
        <f t="shared" ca="1" si="35"/>
        <v>506,511,506,TURN_506_511_506,0</v>
      </c>
    </row>
    <row r="334" spans="1:11" x14ac:dyDescent="0.25">
      <c r="A334">
        <v>506</v>
      </c>
      <c r="B334">
        <v>511</v>
      </c>
      <c r="C334">
        <v>510</v>
      </c>
      <c r="D334">
        <v>0</v>
      </c>
      <c r="E334">
        <f t="shared" si="30"/>
        <v>6</v>
      </c>
      <c r="G334" t="b">
        <f t="shared" si="31"/>
        <v>0</v>
      </c>
      <c r="H334" t="str">
        <f t="shared" si="32"/>
        <v>TURN_506_511_510</v>
      </c>
      <c r="I334">
        <f t="shared" ca="1" si="33"/>
        <v>100</v>
      </c>
      <c r="J334">
        <f t="shared" ca="1" si="34"/>
        <v>100</v>
      </c>
      <c r="K334" t="str">
        <f t="shared" ca="1" si="35"/>
        <v>506,511,510,TURN_506_511_510,100</v>
      </c>
    </row>
    <row r="335" spans="1:11" x14ac:dyDescent="0.25">
      <c r="A335">
        <v>506</v>
      </c>
      <c r="B335">
        <v>511</v>
      </c>
      <c r="C335">
        <v>512</v>
      </c>
      <c r="D335">
        <v>0</v>
      </c>
      <c r="E335">
        <f t="shared" si="30"/>
        <v>6</v>
      </c>
      <c r="G335" t="b">
        <f t="shared" si="31"/>
        <v>0</v>
      </c>
      <c r="H335" t="str">
        <f t="shared" si="32"/>
        <v>TURN_506_511_512</v>
      </c>
      <c r="I335">
        <f t="shared" ca="1" si="33"/>
        <v>200</v>
      </c>
      <c r="J335">
        <f t="shared" ca="1" si="34"/>
        <v>200</v>
      </c>
      <c r="K335" t="str">
        <f t="shared" ca="1" si="35"/>
        <v>506,511,512,TURN_506_511_512,200</v>
      </c>
    </row>
    <row r="336" spans="1:11" x14ac:dyDescent="0.25">
      <c r="A336">
        <v>506</v>
      </c>
      <c r="B336">
        <v>505</v>
      </c>
      <c r="C336">
        <v>510</v>
      </c>
      <c r="D336">
        <v>0</v>
      </c>
      <c r="E336">
        <f t="shared" si="30"/>
        <v>2</v>
      </c>
      <c r="G336" t="b">
        <f t="shared" si="31"/>
        <v>0</v>
      </c>
      <c r="H336" t="str">
        <f t="shared" si="32"/>
        <v>TURN_506_505_510</v>
      </c>
      <c r="I336">
        <f t="shared" ca="1" si="33"/>
        <v>200</v>
      </c>
      <c r="J336">
        <f t="shared" ca="1" si="34"/>
        <v>200</v>
      </c>
      <c r="K336" t="str">
        <f t="shared" ca="1" si="35"/>
        <v>506,505,510,TURN_506_505_510,200</v>
      </c>
    </row>
    <row r="337" spans="1:11" x14ac:dyDescent="0.25">
      <c r="A337">
        <v>506</v>
      </c>
      <c r="B337">
        <v>505</v>
      </c>
      <c r="C337">
        <v>501</v>
      </c>
      <c r="D337">
        <v>0</v>
      </c>
      <c r="E337">
        <f t="shared" si="30"/>
        <v>2</v>
      </c>
      <c r="G337" t="b">
        <f t="shared" si="31"/>
        <v>0</v>
      </c>
      <c r="H337" t="str">
        <f t="shared" si="32"/>
        <v>TURN_506_505_501</v>
      </c>
      <c r="I337">
        <f t="shared" ca="1" si="33"/>
        <v>50</v>
      </c>
      <c r="J337">
        <f t="shared" ca="1" si="34"/>
        <v>50</v>
      </c>
      <c r="K337" t="str">
        <f t="shared" ca="1" si="35"/>
        <v>506,505,501,TURN_506_505_501,50</v>
      </c>
    </row>
    <row r="338" spans="1:11" x14ac:dyDescent="0.25">
      <c r="A338">
        <v>506</v>
      </c>
      <c r="B338">
        <v>505</v>
      </c>
      <c r="C338">
        <v>504</v>
      </c>
      <c r="D338">
        <v>0</v>
      </c>
      <c r="E338">
        <f t="shared" si="30"/>
        <v>2</v>
      </c>
      <c r="G338" t="b">
        <f t="shared" si="31"/>
        <v>0</v>
      </c>
      <c r="H338" t="str">
        <f t="shared" si="32"/>
        <v>TURN_506_505_504</v>
      </c>
      <c r="I338">
        <f t="shared" ca="1" si="33"/>
        <v>1100</v>
      </c>
      <c r="J338">
        <f t="shared" ca="1" si="34"/>
        <v>1100</v>
      </c>
      <c r="K338" t="str">
        <f t="shared" ca="1" si="35"/>
        <v>506,505,504,TURN_506_505_504,1100</v>
      </c>
    </row>
    <row r="339" spans="1:11" x14ac:dyDescent="0.25">
      <c r="A339">
        <v>506</v>
      </c>
      <c r="B339">
        <v>505</v>
      </c>
      <c r="C339">
        <v>506</v>
      </c>
      <c r="D339">
        <v>0</v>
      </c>
      <c r="E339">
        <f t="shared" si="30"/>
        <v>2</v>
      </c>
      <c r="F339">
        <v>0</v>
      </c>
      <c r="G339" t="b">
        <f t="shared" si="31"/>
        <v>1</v>
      </c>
      <c r="H339" t="str">
        <f t="shared" si="32"/>
        <v>TURN_506_505_506</v>
      </c>
      <c r="I339" t="e">
        <f t="shared" ca="1" si="33"/>
        <v>#REF!</v>
      </c>
      <c r="J339">
        <f t="shared" ca="1" si="34"/>
        <v>0</v>
      </c>
      <c r="K339" t="str">
        <f t="shared" ca="1" si="35"/>
        <v>506,505,506,TURN_506_505_506,0</v>
      </c>
    </row>
    <row r="340" spans="1:11" x14ac:dyDescent="0.25">
      <c r="A340">
        <v>507</v>
      </c>
      <c r="B340">
        <v>506</v>
      </c>
      <c r="C340">
        <v>511</v>
      </c>
      <c r="D340">
        <v>0</v>
      </c>
      <c r="E340">
        <f t="shared" si="30"/>
        <v>3</v>
      </c>
      <c r="G340" t="b">
        <f t="shared" si="31"/>
        <v>0</v>
      </c>
      <c r="H340" t="str">
        <f t="shared" si="32"/>
        <v>TURN_507_506_511</v>
      </c>
      <c r="I340">
        <f t="shared" ca="1" si="33"/>
        <v>250</v>
      </c>
      <c r="J340">
        <f t="shared" ca="1" si="34"/>
        <v>250</v>
      </c>
      <c r="K340" t="str">
        <f t="shared" ca="1" si="35"/>
        <v>507,506,511,TURN_507_506_511,250</v>
      </c>
    </row>
    <row r="341" spans="1:11" x14ac:dyDescent="0.25">
      <c r="A341">
        <v>507</v>
      </c>
      <c r="B341">
        <v>506</v>
      </c>
      <c r="C341">
        <v>502</v>
      </c>
      <c r="D341">
        <v>0</v>
      </c>
      <c r="E341">
        <f t="shared" si="30"/>
        <v>3</v>
      </c>
      <c r="G341" t="b">
        <f t="shared" si="31"/>
        <v>0</v>
      </c>
      <c r="H341" t="str">
        <f t="shared" si="32"/>
        <v>TURN_507_506_502</v>
      </c>
      <c r="I341">
        <f t="shared" ca="1" si="33"/>
        <v>250</v>
      </c>
      <c r="J341">
        <f t="shared" ca="1" si="34"/>
        <v>250</v>
      </c>
      <c r="K341" t="str">
        <f t="shared" ca="1" si="35"/>
        <v>507,506,502,TURN_507_506_502,250</v>
      </c>
    </row>
    <row r="342" spans="1:11" x14ac:dyDescent="0.25">
      <c r="A342">
        <v>507</v>
      </c>
      <c r="B342">
        <v>506</v>
      </c>
      <c r="C342">
        <v>505</v>
      </c>
      <c r="D342">
        <v>0</v>
      </c>
      <c r="E342">
        <f t="shared" si="30"/>
        <v>3</v>
      </c>
      <c r="G342" t="b">
        <f t="shared" si="31"/>
        <v>0</v>
      </c>
      <c r="H342" t="str">
        <f t="shared" si="32"/>
        <v>TURN_507_506_505</v>
      </c>
      <c r="I342">
        <f t="shared" ca="1" si="33"/>
        <v>800</v>
      </c>
      <c r="J342">
        <f t="shared" ca="1" si="34"/>
        <v>800</v>
      </c>
      <c r="K342" t="str">
        <f t="shared" ca="1" si="35"/>
        <v>507,506,505,TURN_507_506_505,800</v>
      </c>
    </row>
    <row r="343" spans="1:11" x14ac:dyDescent="0.25">
      <c r="A343">
        <v>507</v>
      </c>
      <c r="B343">
        <v>506</v>
      </c>
      <c r="C343">
        <v>507</v>
      </c>
      <c r="D343">
        <v>0</v>
      </c>
      <c r="E343">
        <f t="shared" si="30"/>
        <v>3</v>
      </c>
      <c r="F343">
        <v>0</v>
      </c>
      <c r="G343" t="b">
        <f t="shared" si="31"/>
        <v>1</v>
      </c>
      <c r="H343" t="str">
        <f t="shared" si="32"/>
        <v>TURN_507_506_507</v>
      </c>
      <c r="I343" t="e">
        <f t="shared" ca="1" si="33"/>
        <v>#REF!</v>
      </c>
      <c r="J343">
        <f t="shared" ca="1" si="34"/>
        <v>0</v>
      </c>
      <c r="K343" t="str">
        <f t="shared" ca="1" si="35"/>
        <v>507,506,507,TURN_507_506_507,0</v>
      </c>
    </row>
    <row r="344" spans="1:11" x14ac:dyDescent="0.25">
      <c r="A344">
        <v>325</v>
      </c>
      <c r="B344">
        <v>326</v>
      </c>
      <c r="C344">
        <v>327</v>
      </c>
      <c r="D344">
        <v>0</v>
      </c>
      <c r="E344">
        <f t="shared" si="30"/>
        <v>9</v>
      </c>
      <c r="G344" t="b">
        <f t="shared" si="31"/>
        <v>0</v>
      </c>
      <c r="H344" t="str">
        <f t="shared" si="32"/>
        <v>TURN_325_326_327</v>
      </c>
      <c r="I344" t="e">
        <f t="shared" ca="1" si="33"/>
        <v>#REF!</v>
      </c>
      <c r="J344">
        <f t="shared" ca="1" si="34"/>
        <v>0</v>
      </c>
      <c r="K344" t="str">
        <f t="shared" ca="1" si="35"/>
        <v>325,326,327,TURN_325_326_327,0</v>
      </c>
    </row>
    <row r="345" spans="1:11" x14ac:dyDescent="0.25">
      <c r="A345">
        <v>325</v>
      </c>
      <c r="B345">
        <v>326</v>
      </c>
      <c r="C345">
        <v>402</v>
      </c>
      <c r="D345">
        <v>0</v>
      </c>
      <c r="E345">
        <f t="shared" si="30"/>
        <v>9</v>
      </c>
      <c r="G345" t="b">
        <f t="shared" si="31"/>
        <v>0</v>
      </c>
      <c r="H345" t="str">
        <f t="shared" si="32"/>
        <v>TURN_325_326_402</v>
      </c>
      <c r="I345">
        <f t="shared" ca="1" si="33"/>
        <v>500</v>
      </c>
      <c r="J345">
        <f t="shared" ca="1" si="34"/>
        <v>500</v>
      </c>
      <c r="K345" t="str">
        <f t="shared" ca="1" si="35"/>
        <v>325,326,402,TURN_325_326_402,500</v>
      </c>
    </row>
    <row r="346" spans="1:11" x14ac:dyDescent="0.25">
      <c r="A346">
        <v>325</v>
      </c>
      <c r="B346">
        <v>326</v>
      </c>
      <c r="C346">
        <v>511</v>
      </c>
      <c r="D346">
        <v>0</v>
      </c>
      <c r="E346">
        <f t="shared" si="30"/>
        <v>9</v>
      </c>
      <c r="G346" t="b">
        <f t="shared" si="31"/>
        <v>0</v>
      </c>
      <c r="H346" t="str">
        <f t="shared" si="32"/>
        <v>TURN_325_326_511</v>
      </c>
      <c r="I346">
        <f t="shared" ca="1" si="33"/>
        <v>150</v>
      </c>
      <c r="J346">
        <f t="shared" ca="1" si="34"/>
        <v>150</v>
      </c>
      <c r="K346" t="str">
        <f t="shared" ca="1" si="35"/>
        <v>325,326,511,TURN_325_326_511,150</v>
      </c>
    </row>
    <row r="347" spans="1:11" hidden="1" x14ac:dyDescent="0.25">
      <c r="A347">
        <v>325</v>
      </c>
      <c r="B347">
        <v>327</v>
      </c>
      <c r="C347">
        <v>328</v>
      </c>
      <c r="D347">
        <v>0</v>
      </c>
      <c r="E347" t="e">
        <f t="shared" si="30"/>
        <v>#N/A</v>
      </c>
      <c r="G347" t="b">
        <f t="shared" si="31"/>
        <v>0</v>
      </c>
      <c r="H347" t="str">
        <f t="shared" si="32"/>
        <v>TURN_325_327_328</v>
      </c>
      <c r="I347" t="e">
        <f t="shared" ca="1" si="33"/>
        <v>#REF!</v>
      </c>
      <c r="J347">
        <f t="shared" ca="1" si="34"/>
        <v>0</v>
      </c>
      <c r="K347" t="str">
        <f t="shared" ca="1" si="35"/>
        <v>325,327,328,TURN_325_327_328,0</v>
      </c>
    </row>
  </sheetData>
  <autoFilter ref="A1:K347">
    <filterColumn colId="4">
      <filters>
        <filter val="1"/>
        <filter val="10"/>
        <filter val="11"/>
        <filter val="12"/>
        <filter val="13"/>
        <filter val="14"/>
        <filter val="15"/>
        <filter val="16"/>
        <filter val="2"/>
        <filter val="3"/>
        <filter val="4"/>
        <filter val="5"/>
        <filter val="6"/>
        <filter val="7"/>
        <filter val="8"/>
        <filter val="9"/>
      </filters>
    </filterColumn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wsTurnID"/>
  <dimension ref="B5:BO56"/>
  <sheetViews>
    <sheetView showGridLines="0" topLeftCell="A14" zoomScale="55" zoomScaleNormal="55" workbookViewId="0">
      <selection activeCell="BO36" sqref="BO36"/>
    </sheetView>
  </sheetViews>
  <sheetFormatPr defaultColWidth="5.7109375" defaultRowHeight="15" x14ac:dyDescent="0.25"/>
  <sheetData>
    <row r="5" spans="27:66" x14ac:dyDescent="0.25">
      <c r="AF5" s="14">
        <v>513</v>
      </c>
      <c r="AT5" s="14">
        <v>514</v>
      </c>
      <c r="BH5" s="14">
        <v>515</v>
      </c>
    </row>
    <row r="6" spans="27:66" x14ac:dyDescent="0.25">
      <c r="AA6" s="2"/>
      <c r="AB6" s="3"/>
      <c r="AC6" s="3"/>
      <c r="AD6" s="3"/>
      <c r="AE6" s="3">
        <f>AD7-AD5</f>
        <v>0</v>
      </c>
      <c r="AF6" s="4"/>
      <c r="AG6" s="3">
        <f>AH5-AH7</f>
        <v>0</v>
      </c>
      <c r="AH6" s="3"/>
      <c r="AI6" s="3"/>
      <c r="AJ6" s="3"/>
      <c r="AK6" s="3"/>
      <c r="AL6" s="5"/>
      <c r="AO6" s="2"/>
      <c r="AP6" s="3"/>
      <c r="AQ6" s="3"/>
      <c r="AR6" s="3"/>
      <c r="AS6" s="3">
        <f>AR7-AR5</f>
        <v>0</v>
      </c>
      <c r="AT6" s="4"/>
      <c r="AU6" s="3">
        <f>AV5-AV7</f>
        <v>0</v>
      </c>
      <c r="AV6" s="3"/>
      <c r="AW6" s="3"/>
      <c r="AX6" s="3"/>
      <c r="AY6" s="3"/>
      <c r="AZ6" s="5"/>
      <c r="BC6" s="2"/>
      <c r="BD6" s="3"/>
      <c r="BE6" s="3"/>
      <c r="BF6" s="3"/>
      <c r="BG6" s="3">
        <f>BF7-BF5</f>
        <v>0</v>
      </c>
      <c r="BH6" s="4"/>
      <c r="BI6" s="3">
        <f>BJ5-BJ7</f>
        <v>0</v>
      </c>
      <c r="BJ6" s="3"/>
      <c r="BK6" s="3"/>
      <c r="BL6" s="3"/>
      <c r="BM6" s="3"/>
      <c r="BN6" s="5"/>
    </row>
    <row r="7" spans="27:66" x14ac:dyDescent="0.25">
      <c r="AA7" s="6"/>
      <c r="AB7" s="7"/>
      <c r="AC7" s="7"/>
      <c r="AD7" s="7">
        <f>SUM(AD10:AE10)</f>
        <v>0</v>
      </c>
      <c r="AE7" s="12" t="s">
        <v>10</v>
      </c>
      <c r="AF7" s="8"/>
      <c r="AG7" s="12" t="s">
        <v>12</v>
      </c>
      <c r="AH7" s="7">
        <f>SUM(AD13,AH14,AH10)</f>
        <v>0</v>
      </c>
      <c r="AI7" s="7"/>
      <c r="AJ7" s="7"/>
      <c r="AK7" s="7"/>
      <c r="AL7" s="10"/>
      <c r="AO7" s="6"/>
      <c r="AP7" s="7"/>
      <c r="AQ7" s="7"/>
      <c r="AR7" s="7">
        <f>SUM(AR10:AS10)</f>
        <v>0</v>
      </c>
      <c r="AS7" s="12" t="s">
        <v>10</v>
      </c>
      <c r="AT7" s="8"/>
      <c r="AU7" s="12" t="s">
        <v>12</v>
      </c>
      <c r="AV7" s="7">
        <f>SUM(AR13,AV14,AV10)</f>
        <v>0</v>
      </c>
      <c r="AW7" s="7"/>
      <c r="AX7" s="7"/>
      <c r="AY7" s="7"/>
      <c r="AZ7" s="10"/>
      <c r="BC7" s="6"/>
      <c r="BD7" s="7"/>
      <c r="BE7" s="7"/>
      <c r="BF7" s="7">
        <f>SUM(BF10:BG10)</f>
        <v>0</v>
      </c>
      <c r="BG7" s="12" t="s">
        <v>10</v>
      </c>
      <c r="BH7" s="8"/>
      <c r="BI7" s="12" t="s">
        <v>12</v>
      </c>
      <c r="BJ7" s="7">
        <f>SUM(BF13,BJ14,BJ10)</f>
        <v>0</v>
      </c>
      <c r="BK7" s="7"/>
      <c r="BL7" s="7"/>
      <c r="BM7" s="7"/>
      <c r="BN7" s="10"/>
    </row>
    <row r="8" spans="27:66" x14ac:dyDescent="0.25">
      <c r="AA8" s="6"/>
      <c r="AB8" s="7"/>
      <c r="AC8" s="7"/>
      <c r="AD8" s="7"/>
      <c r="AE8" s="7"/>
      <c r="AF8" s="8"/>
      <c r="AG8" s="7"/>
      <c r="AH8" s="7"/>
      <c r="AI8" s="7"/>
      <c r="AJ8" s="7"/>
      <c r="AK8" s="7"/>
      <c r="AL8" s="10"/>
      <c r="AO8" s="6"/>
      <c r="AP8" s="7"/>
      <c r="AQ8" s="7"/>
      <c r="AR8" s="7"/>
      <c r="AS8" s="7"/>
      <c r="AT8" s="8"/>
      <c r="AU8" s="7"/>
      <c r="AV8" s="7"/>
      <c r="AW8" s="7"/>
      <c r="AX8" s="7"/>
      <c r="AY8" s="7"/>
      <c r="AZ8" s="10"/>
      <c r="BC8" s="6"/>
      <c r="BD8" s="7"/>
      <c r="BE8" s="7"/>
      <c r="BF8" s="7"/>
      <c r="BG8" s="7"/>
      <c r="BH8" s="8"/>
      <c r="BI8" s="7"/>
      <c r="BJ8" s="7"/>
      <c r="BK8" s="7"/>
      <c r="BL8" s="7"/>
      <c r="BM8" s="7"/>
      <c r="BN8" s="10"/>
    </row>
    <row r="9" spans="27:66" x14ac:dyDescent="0.25">
      <c r="AA9" s="6"/>
      <c r="AB9" s="7"/>
      <c r="AC9" s="7"/>
      <c r="AD9" s="7"/>
      <c r="AE9" s="7"/>
      <c r="AF9" s="8"/>
      <c r="AI9" s="7"/>
      <c r="AJ9" s="7"/>
      <c r="AK9" s="7"/>
      <c r="AL9" s="10"/>
      <c r="AO9" s="6"/>
      <c r="AP9" s="7"/>
      <c r="AQ9" s="7"/>
      <c r="AR9" s="7"/>
      <c r="AS9" s="7"/>
      <c r="AT9" s="8"/>
      <c r="AW9" s="7"/>
      <c r="AX9" s="7"/>
      <c r="AY9" s="7"/>
      <c r="AZ9" s="10"/>
      <c r="BC9" s="6"/>
      <c r="BD9" s="7"/>
      <c r="BE9" s="7"/>
      <c r="BF9" s="7"/>
      <c r="BG9" s="7"/>
      <c r="BH9" s="8"/>
      <c r="BK9" s="7"/>
      <c r="BL9" s="7"/>
      <c r="BM9" s="7"/>
      <c r="BN9" s="10"/>
    </row>
    <row r="10" spans="27:66" x14ac:dyDescent="0.25">
      <c r="AA10" s="6">
        <f>SUM(AG14,AD10)</f>
        <v>0</v>
      </c>
      <c r="AB10" s="7"/>
      <c r="AD10" s="26" t="str">
        <f>AF5&amp;"_"&amp;AF12&amp;"_"&amp;AA12</f>
        <v>513_408_409</v>
      </c>
      <c r="AE10" s="26" t="str">
        <f>AF5&amp;"_"&amp;AF12&amp;"_"&amp;AF24</f>
        <v>513_408_320</v>
      </c>
      <c r="AF10" s="8"/>
      <c r="AG10" s="9" t="s">
        <v>14</v>
      </c>
      <c r="AH10" s="25" t="str">
        <f>AL12&amp;"_"&amp;AF12&amp;"_"&amp;AF5</f>
        <v>407_408_513</v>
      </c>
      <c r="AI10" s="7"/>
      <c r="AJ10" s="7"/>
      <c r="AK10" s="7">
        <f>SUM(AH10:AH11)</f>
        <v>0</v>
      </c>
      <c r="AL10" s="10"/>
      <c r="AO10" s="6">
        <f>SUM(AU14,AR10)</f>
        <v>0</v>
      </c>
      <c r="AP10" s="7"/>
      <c r="AR10" s="26" t="str">
        <f>AT5&amp;"_"&amp;AT12&amp;"_"&amp;AO12</f>
        <v>514_405_406</v>
      </c>
      <c r="AS10" s="26" t="str">
        <f>AT5&amp;"_"&amp;AT12&amp;"_"&amp;AT24</f>
        <v>514_405_323</v>
      </c>
      <c r="AT10" s="8"/>
      <c r="AU10" s="9" t="s">
        <v>14</v>
      </c>
      <c r="AV10" s="25" t="str">
        <f>AZ12&amp;"_"&amp;AT12&amp;"_"&amp;AT5</f>
        <v>404_405_514</v>
      </c>
      <c r="AW10" s="7"/>
      <c r="AX10" s="7"/>
      <c r="AY10" s="7">
        <f>SUM(AV10:AV11)</f>
        <v>0</v>
      </c>
      <c r="AZ10" s="10"/>
      <c r="BC10" s="6">
        <f>SUM(BI14,BF10)</f>
        <v>0</v>
      </c>
      <c r="BD10" s="7"/>
      <c r="BF10" s="26" t="str">
        <f>BH5&amp;"_"&amp;BH12&amp;"_"&amp;BC12</f>
        <v>515_402_403</v>
      </c>
      <c r="BG10" s="26" t="str">
        <f>BH5&amp;"_"&amp;BH12&amp;"_"&amp;BH24</f>
        <v>515_402_326</v>
      </c>
      <c r="BH10" s="8"/>
      <c r="BI10" s="9" t="s">
        <v>14</v>
      </c>
      <c r="BJ10" s="25" t="str">
        <f>BN12&amp;"_"&amp;BH12&amp;"_"&amp;BH5</f>
        <v>401_402_515</v>
      </c>
      <c r="BK10" s="7"/>
      <c r="BL10" s="7"/>
      <c r="BM10" s="7">
        <f>SUM(BJ10:BJ11)</f>
        <v>0</v>
      </c>
      <c r="BN10" s="10"/>
    </row>
    <row r="11" spans="27:66" x14ac:dyDescent="0.25">
      <c r="AA11" s="21" t="s">
        <v>15</v>
      </c>
      <c r="AB11" s="7"/>
      <c r="AD11" s="12">
        <v>8</v>
      </c>
      <c r="AE11" s="12" t="s">
        <v>10</v>
      </c>
      <c r="AF11" s="8"/>
      <c r="AG11" s="9" t="s">
        <v>16</v>
      </c>
      <c r="AH11" s="25" t="str">
        <f>AL12&amp;"_"&amp;AF12&amp;"_"&amp;AF24</f>
        <v>407_408_320</v>
      </c>
      <c r="AI11" s="7"/>
      <c r="AJ11" s="7"/>
      <c r="AK11" s="20" t="s">
        <v>15</v>
      </c>
      <c r="AL11" s="10">
        <f>AK10-AM10</f>
        <v>0</v>
      </c>
      <c r="AO11" s="21" t="s">
        <v>15</v>
      </c>
      <c r="AP11" s="7"/>
      <c r="AR11" s="12">
        <v>8</v>
      </c>
      <c r="AS11" s="12" t="s">
        <v>10</v>
      </c>
      <c r="AT11" s="8"/>
      <c r="AU11" s="9" t="s">
        <v>16</v>
      </c>
      <c r="AV11" s="25" t="str">
        <f>AZ12&amp;"_"&amp;AT12&amp;"_"&amp;AT24</f>
        <v>404_405_323</v>
      </c>
      <c r="AW11" s="7"/>
      <c r="AX11" s="7"/>
      <c r="AY11" s="20" t="s">
        <v>15</v>
      </c>
      <c r="AZ11" s="10">
        <f>AY10-BA10</f>
        <v>0</v>
      </c>
      <c r="BC11" s="21" t="s">
        <v>15</v>
      </c>
      <c r="BD11" s="7"/>
      <c r="BF11" s="12">
        <v>8</v>
      </c>
      <c r="BG11" s="12" t="s">
        <v>10</v>
      </c>
      <c r="BH11" s="8"/>
      <c r="BI11" s="9" t="s">
        <v>16</v>
      </c>
      <c r="BJ11" s="25" t="str">
        <f>BN12&amp;"_"&amp;BH12&amp;"_"&amp;BH24</f>
        <v>401_402_326</v>
      </c>
      <c r="BK11" s="7"/>
      <c r="BL11" s="7"/>
      <c r="BM11" s="20" t="s">
        <v>15</v>
      </c>
      <c r="BN11" s="10">
        <f>BM10-BO10</f>
        <v>0</v>
      </c>
    </row>
    <row r="12" spans="27:66" x14ac:dyDescent="0.25">
      <c r="AA12" s="14">
        <v>409</v>
      </c>
      <c r="AB12" s="23" t="s">
        <v>18</v>
      </c>
      <c r="AC12" s="23" t="s">
        <v>18</v>
      </c>
      <c r="AD12" s="23" t="s">
        <v>18</v>
      </c>
      <c r="AE12" s="23" t="s">
        <v>18</v>
      </c>
      <c r="AF12" s="14">
        <v>408</v>
      </c>
      <c r="AG12" s="23" t="s">
        <v>18</v>
      </c>
      <c r="AH12" s="23" t="s">
        <v>18</v>
      </c>
      <c r="AI12" s="23" t="s">
        <v>18</v>
      </c>
      <c r="AJ12" s="23" t="s">
        <v>18</v>
      </c>
      <c r="AK12" s="23" t="s">
        <v>18</v>
      </c>
      <c r="AL12" s="14">
        <v>407</v>
      </c>
      <c r="AO12" s="14">
        <v>406</v>
      </c>
      <c r="AP12" s="23" t="s">
        <v>18</v>
      </c>
      <c r="AQ12" s="23" t="s">
        <v>18</v>
      </c>
      <c r="AR12" s="23" t="s">
        <v>18</v>
      </c>
      <c r="AS12" s="23" t="s">
        <v>18</v>
      </c>
      <c r="AT12" s="14">
        <v>405</v>
      </c>
      <c r="AU12" s="23" t="s">
        <v>18</v>
      </c>
      <c r="AV12" s="23" t="s">
        <v>18</v>
      </c>
      <c r="AW12" s="23" t="s">
        <v>18</v>
      </c>
      <c r="AX12" s="23" t="s">
        <v>18</v>
      </c>
      <c r="AY12" s="23" t="s">
        <v>18</v>
      </c>
      <c r="AZ12" s="14">
        <v>404</v>
      </c>
      <c r="BC12" s="14">
        <v>403</v>
      </c>
      <c r="BD12" s="23" t="s">
        <v>18</v>
      </c>
      <c r="BE12" s="23" t="s">
        <v>18</v>
      </c>
      <c r="BF12" s="23" t="s">
        <v>18</v>
      </c>
      <c r="BG12" s="23" t="s">
        <v>18</v>
      </c>
      <c r="BH12" s="14">
        <v>402</v>
      </c>
      <c r="BI12" s="23" t="s">
        <v>18</v>
      </c>
      <c r="BJ12" s="23" t="s">
        <v>18</v>
      </c>
      <c r="BK12" s="23" t="s">
        <v>18</v>
      </c>
      <c r="BL12" s="23" t="s">
        <v>18</v>
      </c>
      <c r="BM12" s="23" t="s">
        <v>18</v>
      </c>
      <c r="BN12" s="14">
        <v>401</v>
      </c>
    </row>
    <row r="13" spans="27:66" x14ac:dyDescent="0.25">
      <c r="AA13" s="21"/>
      <c r="AB13" s="8"/>
      <c r="AC13" s="7"/>
      <c r="AD13" s="7"/>
      <c r="AE13" s="9"/>
      <c r="AF13" s="8"/>
      <c r="AG13" s="12" t="s">
        <v>11</v>
      </c>
      <c r="AH13" s="12" t="s">
        <v>12</v>
      </c>
      <c r="AI13" s="12"/>
      <c r="AJ13" s="7"/>
      <c r="AK13" s="24"/>
      <c r="AL13" s="10"/>
      <c r="AO13" s="21"/>
      <c r="AP13" s="8"/>
      <c r="AQ13" s="7"/>
      <c r="AR13" s="7"/>
      <c r="AS13" s="9"/>
      <c r="AT13" s="8"/>
      <c r="AU13" s="12" t="s">
        <v>11</v>
      </c>
      <c r="AV13" s="12" t="s">
        <v>12</v>
      </c>
      <c r="AW13" s="12"/>
      <c r="AX13" s="7"/>
      <c r="AY13" s="24"/>
      <c r="AZ13" s="10"/>
      <c r="BC13" s="21"/>
      <c r="BD13" s="8"/>
      <c r="BE13" s="7"/>
      <c r="BF13" s="7"/>
      <c r="BG13" s="9"/>
      <c r="BH13" s="8"/>
      <c r="BI13" s="12" t="s">
        <v>11</v>
      </c>
      <c r="BJ13" s="12" t="s">
        <v>12</v>
      </c>
      <c r="BK13" s="12"/>
      <c r="BL13" s="7"/>
      <c r="BM13" s="24"/>
      <c r="BN13" s="10"/>
    </row>
    <row r="14" spans="27:66" x14ac:dyDescent="0.25">
      <c r="AA14" s="6"/>
      <c r="AB14" s="8"/>
      <c r="AC14" s="7"/>
      <c r="AD14" s="7"/>
      <c r="AE14" s="9"/>
      <c r="AF14" s="8"/>
      <c r="AG14" s="25" t="str">
        <f>AF24&amp;"_"&amp;AF12&amp;"_"&amp;AA12</f>
        <v>320_408_409</v>
      </c>
      <c r="AH14" s="26" t="str">
        <f>AF24&amp;"_"&amp;AF12&amp;"_"&amp;AF5</f>
        <v>320_408_513</v>
      </c>
      <c r="AI14" s="11"/>
      <c r="AJ14" s="7"/>
      <c r="AK14" s="8"/>
      <c r="AL14" s="10"/>
      <c r="AO14" s="6"/>
      <c r="AP14" s="8"/>
      <c r="AQ14" s="7"/>
      <c r="AR14" s="7"/>
      <c r="AS14" s="9"/>
      <c r="AT14" s="8"/>
      <c r="AU14" s="25" t="str">
        <f>AT24&amp;"_"&amp;AT12&amp;"_"&amp;AO12</f>
        <v>323_405_406</v>
      </c>
      <c r="AV14" s="26" t="str">
        <f>AT24&amp;"_"&amp;AT12&amp;"_"&amp;AT5</f>
        <v>323_405_514</v>
      </c>
      <c r="AW14" s="11"/>
      <c r="AX14" s="7"/>
      <c r="AY14" s="8"/>
      <c r="AZ14" s="10"/>
      <c r="BC14" s="6"/>
      <c r="BD14" s="8"/>
      <c r="BE14" s="7"/>
      <c r="BF14" s="7"/>
      <c r="BG14" s="9"/>
      <c r="BH14" s="8"/>
      <c r="BI14" s="25" t="str">
        <f>BH24&amp;"_"&amp;BH12&amp;"_"&amp;BC12</f>
        <v>326_402_403</v>
      </c>
      <c r="BJ14" s="26" t="str">
        <f>BH24&amp;"_"&amp;BH12&amp;"_"&amp;BH5</f>
        <v>326_402_515</v>
      </c>
      <c r="BK14" s="11"/>
      <c r="BL14" s="7"/>
      <c r="BM14" s="8"/>
      <c r="BN14" s="10"/>
    </row>
    <row r="15" spans="27:66" x14ac:dyDescent="0.25">
      <c r="AA15" s="6"/>
      <c r="AB15" s="8"/>
      <c r="AC15" s="7"/>
      <c r="AD15" s="7"/>
      <c r="AE15" s="9"/>
      <c r="AF15" s="8"/>
      <c r="AG15" s="7"/>
      <c r="AH15" s="7"/>
      <c r="AI15" s="7"/>
      <c r="AJ15" s="7"/>
      <c r="AK15" s="8"/>
      <c r="AL15" s="10"/>
      <c r="AO15" s="6"/>
      <c r="AP15" s="8"/>
      <c r="AQ15" s="7"/>
      <c r="AR15" s="7"/>
      <c r="AS15" s="9"/>
      <c r="AT15" s="8"/>
      <c r="AU15" s="7"/>
      <c r="AV15" s="7"/>
      <c r="AW15" s="7"/>
      <c r="AX15" s="7"/>
      <c r="AY15" s="8"/>
      <c r="AZ15" s="10"/>
      <c r="BC15" s="6"/>
      <c r="BD15" s="8"/>
      <c r="BE15" s="7"/>
      <c r="BF15" s="7"/>
      <c r="BG15" s="9"/>
      <c r="BH15" s="8"/>
      <c r="BI15" s="7"/>
      <c r="BJ15" s="7"/>
      <c r="BK15" s="7"/>
      <c r="BL15" s="7"/>
      <c r="BM15" s="8"/>
      <c r="BN15" s="10"/>
    </row>
    <row r="16" spans="27:66" x14ac:dyDescent="0.25">
      <c r="AA16" s="13"/>
      <c r="AB16" s="8"/>
      <c r="AC16" s="8"/>
      <c r="AD16" s="7"/>
      <c r="AE16" s="7"/>
      <c r="AF16" s="8"/>
      <c r="AG16" s="7"/>
      <c r="AH16" s="7"/>
      <c r="AI16" s="8"/>
      <c r="AJ16" s="8"/>
      <c r="AK16" s="8"/>
      <c r="AL16" s="15"/>
      <c r="AM16" s="1"/>
      <c r="AN16" s="1"/>
      <c r="AO16" s="13"/>
      <c r="AP16" s="8"/>
      <c r="AQ16" s="8"/>
      <c r="AR16" s="7"/>
      <c r="AS16" s="7"/>
      <c r="AT16" s="8"/>
      <c r="AU16" s="7"/>
      <c r="AV16" s="7"/>
      <c r="AW16" s="8"/>
      <c r="AX16" s="8"/>
      <c r="AY16" s="8"/>
      <c r="AZ16" s="15"/>
      <c r="BA16" s="1"/>
      <c r="BB16" s="1"/>
      <c r="BC16" s="13"/>
      <c r="BD16" s="8"/>
      <c r="BE16" s="8"/>
      <c r="BF16" s="7"/>
      <c r="BG16" s="7"/>
      <c r="BH16" s="8"/>
      <c r="BI16" s="7"/>
      <c r="BJ16" s="7"/>
      <c r="BK16" s="8"/>
      <c r="BL16" s="8"/>
      <c r="BM16" s="8"/>
      <c r="BN16" s="15"/>
    </row>
    <row r="17" spans="3:66" x14ac:dyDescent="0.25">
      <c r="AA17" s="16"/>
      <c r="AB17" s="17"/>
      <c r="AC17" s="17"/>
      <c r="AD17" s="17">
        <f>SUM(AH11,AE10,AD15)</f>
        <v>0</v>
      </c>
      <c r="AE17" s="22" t="s">
        <v>10</v>
      </c>
      <c r="AF17" s="18"/>
      <c r="AG17" s="22" t="s">
        <v>12</v>
      </c>
      <c r="AH17" s="17">
        <f>SUM(AG14:AI14)</f>
        <v>0</v>
      </c>
      <c r="AI17" s="17"/>
      <c r="AJ17" s="17"/>
      <c r="AK17" s="17"/>
      <c r="AL17" s="19"/>
      <c r="AO17" s="16"/>
      <c r="AP17" s="17"/>
      <c r="AQ17" s="17"/>
      <c r="AR17" s="17">
        <f>SUM(AV11,AS10,AR15)</f>
        <v>0</v>
      </c>
      <c r="AS17" s="22" t="s">
        <v>10</v>
      </c>
      <c r="AT17" s="18"/>
      <c r="AU17" s="22" t="s">
        <v>12</v>
      </c>
      <c r="AV17" s="17">
        <f>SUM(AU14:AW14)</f>
        <v>0</v>
      </c>
      <c r="AW17" s="17"/>
      <c r="AX17" s="17"/>
      <c r="AY17" s="17"/>
      <c r="AZ17" s="19"/>
      <c r="BC17" s="16"/>
      <c r="BD17" s="17"/>
      <c r="BE17" s="17"/>
      <c r="BF17" s="17">
        <f>SUM(BJ11,BG10,BF15)</f>
        <v>0</v>
      </c>
      <c r="BG17" s="22" t="s">
        <v>10</v>
      </c>
      <c r="BH17" s="18"/>
      <c r="BI17" s="22" t="s">
        <v>12</v>
      </c>
      <c r="BJ17" s="17">
        <f>SUM(BI14:BK14)</f>
        <v>0</v>
      </c>
      <c r="BK17" s="17"/>
      <c r="BL17" s="17"/>
      <c r="BM17" s="17"/>
      <c r="BN17" s="19"/>
    </row>
    <row r="18" spans="3:66" x14ac:dyDescent="0.25">
      <c r="AA18" s="2"/>
      <c r="AB18" s="3"/>
      <c r="AC18" s="3"/>
      <c r="AD18" s="3"/>
      <c r="AE18" s="3">
        <f>AD19-AD17</f>
        <v>0</v>
      </c>
      <c r="AF18" s="4"/>
      <c r="AG18" s="3">
        <f>AH17-AH19</f>
        <v>0</v>
      </c>
      <c r="AH18" s="3"/>
      <c r="AI18" s="3"/>
      <c r="AJ18" s="3"/>
      <c r="AK18" s="3"/>
      <c r="AL18" s="5"/>
      <c r="AO18" s="2"/>
      <c r="AP18" s="3"/>
      <c r="AQ18" s="3"/>
      <c r="AR18" s="3"/>
      <c r="AS18" s="3">
        <f>AR19-AR17</f>
        <v>0</v>
      </c>
      <c r="AT18" s="4"/>
      <c r="AU18" s="3">
        <f>AV17-AV19</f>
        <v>0</v>
      </c>
      <c r="AV18" s="3"/>
      <c r="AW18" s="3"/>
      <c r="AX18" s="3"/>
      <c r="AY18" s="3"/>
      <c r="AZ18" s="5"/>
      <c r="BC18" s="2"/>
      <c r="BD18" s="3"/>
      <c r="BE18" s="3"/>
      <c r="BF18" s="3"/>
      <c r="BG18" s="3">
        <f>BF19-BF17</f>
        <v>0</v>
      </c>
      <c r="BH18" s="4"/>
      <c r="BI18" s="3">
        <f>BJ17-BJ19</f>
        <v>0</v>
      </c>
      <c r="BJ18" s="3"/>
      <c r="BK18" s="3"/>
      <c r="BL18" s="3"/>
      <c r="BM18" s="3"/>
      <c r="BN18" s="5"/>
    </row>
    <row r="19" spans="3:66" x14ac:dyDescent="0.25">
      <c r="AA19" s="13"/>
      <c r="AB19" s="8"/>
      <c r="AC19" s="8"/>
      <c r="AD19" s="7">
        <f>SUM(AC22:AE22)</f>
        <v>0</v>
      </c>
      <c r="AE19" s="12" t="s">
        <v>10</v>
      </c>
      <c r="AF19" s="8"/>
      <c r="AG19" s="12" t="s">
        <v>12</v>
      </c>
      <c r="AH19" s="7">
        <f>SUM(AD25,AG26,AH21)</f>
        <v>0</v>
      </c>
      <c r="AI19" s="8"/>
      <c r="AJ19" s="8"/>
      <c r="AK19" s="8"/>
      <c r="AL19" s="15"/>
      <c r="AM19" s="1"/>
      <c r="AN19" s="1"/>
      <c r="AO19" s="13"/>
      <c r="AP19" s="8"/>
      <c r="AQ19" s="8"/>
      <c r="AR19" s="7">
        <f>SUM(AQ22:AS22)</f>
        <v>0</v>
      </c>
      <c r="AS19" s="12" t="s">
        <v>10</v>
      </c>
      <c r="AT19" s="8"/>
      <c r="AU19" s="12" t="s">
        <v>12</v>
      </c>
      <c r="AV19" s="7">
        <f>SUM(AR25,AU26,AV21)</f>
        <v>0</v>
      </c>
      <c r="AW19" s="8"/>
      <c r="AX19" s="8"/>
      <c r="AY19" s="8"/>
      <c r="AZ19" s="15"/>
      <c r="BA19" s="1"/>
      <c r="BB19" s="1"/>
      <c r="BC19" s="13"/>
      <c r="BD19" s="8"/>
      <c r="BE19" s="8"/>
      <c r="BF19" s="7">
        <f>SUM(BE22:BG22)</f>
        <v>0</v>
      </c>
      <c r="BG19" s="12" t="s">
        <v>10</v>
      </c>
      <c r="BH19" s="8"/>
      <c r="BI19" s="12" t="s">
        <v>12</v>
      </c>
      <c r="BJ19" s="7">
        <f>SUM(BF25,BI26,BJ21)</f>
        <v>0</v>
      </c>
      <c r="BK19" s="8"/>
      <c r="BL19" s="8"/>
      <c r="BM19" s="8"/>
      <c r="BN19" s="15"/>
    </row>
    <row r="20" spans="3:66" x14ac:dyDescent="0.25">
      <c r="AA20" s="6"/>
      <c r="AB20" s="8"/>
      <c r="AC20" s="7"/>
      <c r="AD20" s="7"/>
      <c r="AE20" s="7"/>
      <c r="AF20" s="8"/>
      <c r="AG20" s="7"/>
      <c r="AH20" s="7"/>
      <c r="AI20" s="7"/>
      <c r="AJ20" s="7"/>
      <c r="AK20" s="8"/>
      <c r="AL20" s="10"/>
      <c r="AO20" s="6"/>
      <c r="AP20" s="8"/>
      <c r="AQ20" s="7"/>
      <c r="AR20" s="7"/>
      <c r="AS20" s="7"/>
      <c r="AT20" s="8"/>
      <c r="AU20" s="7"/>
      <c r="AV20" s="7"/>
      <c r="AW20" s="7"/>
      <c r="AX20" s="7"/>
      <c r="AY20" s="8"/>
      <c r="AZ20" s="10"/>
      <c r="BC20" s="6"/>
      <c r="BD20" s="8"/>
      <c r="BE20" s="7"/>
      <c r="BF20" s="7"/>
      <c r="BG20" s="7"/>
      <c r="BH20" s="8"/>
      <c r="BI20" s="7"/>
      <c r="BJ20" s="7"/>
      <c r="BK20" s="7"/>
      <c r="BL20" s="7"/>
      <c r="BM20" s="8"/>
      <c r="BN20" s="10"/>
    </row>
    <row r="21" spans="3:66" x14ac:dyDescent="0.25">
      <c r="AA21" s="6"/>
      <c r="AB21" s="8"/>
      <c r="AC21" s="7"/>
      <c r="AD21" s="7"/>
      <c r="AE21" s="7"/>
      <c r="AF21" s="8"/>
      <c r="AG21" s="9"/>
      <c r="AH21" s="7"/>
      <c r="AI21" s="7"/>
      <c r="AJ21" s="7"/>
      <c r="AK21" s="8"/>
      <c r="AL21" s="10"/>
      <c r="AO21" s="6"/>
      <c r="AP21" s="8"/>
      <c r="AQ21" s="7"/>
      <c r="AR21" s="7"/>
      <c r="AS21" s="7"/>
      <c r="AT21" s="8"/>
      <c r="AU21" s="9"/>
      <c r="AV21" s="7"/>
      <c r="AW21" s="7"/>
      <c r="AX21" s="7"/>
      <c r="AY21" s="8"/>
      <c r="AZ21" s="10"/>
      <c r="BC21" s="6"/>
      <c r="BD21" s="8"/>
      <c r="BE21" s="7"/>
      <c r="BF21" s="7"/>
      <c r="BG21" s="7"/>
      <c r="BH21" s="8"/>
      <c r="BI21" s="9"/>
      <c r="BJ21" s="7"/>
      <c r="BK21" s="7"/>
      <c r="BL21" s="7"/>
      <c r="BM21" s="8"/>
      <c r="BN21" s="10"/>
    </row>
    <row r="22" spans="3:66" x14ac:dyDescent="0.25">
      <c r="AA22" s="6"/>
      <c r="AB22" s="8"/>
      <c r="AC22" s="11"/>
      <c r="AD22" s="26" t="str">
        <f>AF12&amp;"_"&amp;AF24&amp;"_"&amp;AF36</f>
        <v>408_320_509</v>
      </c>
      <c r="AE22" s="26" t="str">
        <f>AF12&amp;"_"&amp;AF24&amp;"_"&amp;AL24</f>
        <v>408_320_321</v>
      </c>
      <c r="AF22" s="8"/>
      <c r="AG22" s="9"/>
      <c r="AH22" s="7"/>
      <c r="AI22" s="7"/>
      <c r="AJ22" s="7"/>
      <c r="AK22" s="8"/>
      <c r="AL22" s="10"/>
      <c r="AO22" s="6"/>
      <c r="AP22" s="8"/>
      <c r="AQ22" s="11"/>
      <c r="AR22" s="26" t="str">
        <f>AT12&amp;"_"&amp;AT24&amp;"_"&amp;AT36</f>
        <v>405_323_510</v>
      </c>
      <c r="AS22" s="26" t="str">
        <f>AT12&amp;"_"&amp;AT24&amp;"_"&amp;AZ24</f>
        <v>405_323_324</v>
      </c>
      <c r="AT22" s="8"/>
      <c r="AU22" s="9"/>
      <c r="AV22" s="7"/>
      <c r="AW22" s="7"/>
      <c r="AX22" s="7"/>
      <c r="AY22" s="8"/>
      <c r="AZ22" s="10"/>
      <c r="BC22" s="6"/>
      <c r="BD22" s="8"/>
      <c r="BE22" s="11"/>
      <c r="BF22" s="26" t="str">
        <f>BH12&amp;"_"&amp;BH24&amp;"_"&amp;BH36</f>
        <v>402_326_511</v>
      </c>
      <c r="BG22" s="26" t="str">
        <f>BH12&amp;"_"&amp;BH24&amp;"_"&amp;BN24</f>
        <v>402_326_327</v>
      </c>
      <c r="BH22" s="8"/>
      <c r="BI22" s="9"/>
      <c r="BJ22" s="7"/>
      <c r="BK22" s="7"/>
      <c r="BL22" s="7"/>
      <c r="BM22" s="8"/>
      <c r="BN22" s="10"/>
    </row>
    <row r="23" spans="3:66" x14ac:dyDescent="0.25">
      <c r="AA23" s="21"/>
      <c r="AB23" s="8"/>
      <c r="AC23" s="12"/>
      <c r="AD23" s="12" t="s">
        <v>10</v>
      </c>
      <c r="AE23" s="12">
        <v>9</v>
      </c>
      <c r="AF23" s="8"/>
      <c r="AG23" s="9"/>
      <c r="AH23" s="7"/>
      <c r="AI23" s="7"/>
      <c r="AJ23" s="7"/>
      <c r="AK23" s="24"/>
      <c r="AL23" s="10"/>
      <c r="AO23" s="21"/>
      <c r="AP23" s="8"/>
      <c r="AQ23" s="12"/>
      <c r="AR23" s="12" t="s">
        <v>10</v>
      </c>
      <c r="AS23" s="12">
        <v>9</v>
      </c>
      <c r="AT23" s="8"/>
      <c r="AU23" s="9"/>
      <c r="AV23" s="7"/>
      <c r="AW23" s="7"/>
      <c r="AX23" s="7"/>
      <c r="AY23" s="24"/>
      <c r="AZ23" s="10"/>
      <c r="BC23" s="21"/>
      <c r="BD23" s="8"/>
      <c r="BE23" s="12"/>
      <c r="BF23" s="12" t="s">
        <v>10</v>
      </c>
      <c r="BG23" s="12">
        <v>9</v>
      </c>
      <c r="BH23" s="8"/>
      <c r="BI23" s="9"/>
      <c r="BJ23" s="7"/>
      <c r="BK23" s="7"/>
      <c r="BL23" s="7"/>
      <c r="BM23" s="24"/>
      <c r="BN23" s="10"/>
    </row>
    <row r="24" spans="3:66" x14ac:dyDescent="0.25">
      <c r="AA24" s="14">
        <v>319</v>
      </c>
      <c r="AB24" s="23" t="s">
        <v>17</v>
      </c>
      <c r="AC24" s="23" t="s">
        <v>17</v>
      </c>
      <c r="AD24" s="23" t="s">
        <v>17</v>
      </c>
      <c r="AE24" s="23" t="s">
        <v>17</v>
      </c>
      <c r="AF24" s="14">
        <v>320</v>
      </c>
      <c r="AG24" s="23" t="s">
        <v>17</v>
      </c>
      <c r="AH24" s="23" t="s">
        <v>17</v>
      </c>
      <c r="AI24" s="23" t="s">
        <v>17</v>
      </c>
      <c r="AJ24" s="23" t="s">
        <v>17</v>
      </c>
      <c r="AK24" s="23" t="s">
        <v>17</v>
      </c>
      <c r="AL24" s="14">
        <v>321</v>
      </c>
      <c r="AO24" s="14">
        <v>322</v>
      </c>
      <c r="AP24" s="23" t="s">
        <v>17</v>
      </c>
      <c r="AQ24" s="23" t="s">
        <v>17</v>
      </c>
      <c r="AR24" s="23" t="s">
        <v>17</v>
      </c>
      <c r="AS24" s="23" t="s">
        <v>17</v>
      </c>
      <c r="AT24" s="14">
        <v>323</v>
      </c>
      <c r="AU24" s="23" t="s">
        <v>17</v>
      </c>
      <c r="AV24" s="23" t="s">
        <v>17</v>
      </c>
      <c r="AW24" s="23" t="s">
        <v>17</v>
      </c>
      <c r="AX24" s="23" t="s">
        <v>17</v>
      </c>
      <c r="AY24" s="23" t="s">
        <v>17</v>
      </c>
      <c r="AZ24" s="14">
        <v>324</v>
      </c>
      <c r="BC24" s="14">
        <v>325</v>
      </c>
      <c r="BD24" s="23" t="s">
        <v>17</v>
      </c>
      <c r="BE24" s="23" t="s">
        <v>17</v>
      </c>
      <c r="BF24" s="23" t="s">
        <v>17</v>
      </c>
      <c r="BG24" s="23" t="s">
        <v>17</v>
      </c>
      <c r="BH24" s="14">
        <v>326</v>
      </c>
      <c r="BI24" s="23" t="s">
        <v>17</v>
      </c>
      <c r="BJ24" s="23" t="s">
        <v>17</v>
      </c>
      <c r="BK24" s="23" t="s">
        <v>17</v>
      </c>
      <c r="BL24" s="23" t="s">
        <v>17</v>
      </c>
      <c r="BM24" s="23" t="s">
        <v>17</v>
      </c>
      <c r="BN24" s="14">
        <v>327</v>
      </c>
    </row>
    <row r="25" spans="3:66" x14ac:dyDescent="0.25">
      <c r="AA25" s="21" t="s">
        <v>8</v>
      </c>
      <c r="AB25" s="7"/>
      <c r="AC25" s="7"/>
      <c r="AD25" s="25" t="str">
        <f>AA24&amp;"_"&amp;AF24&amp;"_"&amp;AF12</f>
        <v>319_320_408</v>
      </c>
      <c r="AE25" s="9" t="s">
        <v>7</v>
      </c>
      <c r="AF25" s="8"/>
      <c r="AG25" s="12" t="s">
        <v>12</v>
      </c>
      <c r="AH25" s="12" t="s">
        <v>13</v>
      </c>
      <c r="AJ25" s="7"/>
      <c r="AK25" s="20" t="s">
        <v>8</v>
      </c>
      <c r="AL25" s="10">
        <f>AM26-AK26</f>
        <v>0</v>
      </c>
      <c r="AO25" s="21" t="s">
        <v>8</v>
      </c>
      <c r="AP25" s="7"/>
      <c r="AQ25" s="7"/>
      <c r="AR25" s="25" t="str">
        <f>AO24&amp;"_"&amp;AT24&amp;"_"&amp;AT12</f>
        <v>322_323_405</v>
      </c>
      <c r="AS25" s="9" t="s">
        <v>7</v>
      </c>
      <c r="AT25" s="8"/>
      <c r="AU25" s="12" t="s">
        <v>12</v>
      </c>
      <c r="AV25" s="12" t="s">
        <v>13</v>
      </c>
      <c r="AX25" s="7"/>
      <c r="AY25" s="20" t="s">
        <v>8</v>
      </c>
      <c r="AZ25" s="10">
        <f>BA26-AY26</f>
        <v>0</v>
      </c>
      <c r="BC25" s="21" t="s">
        <v>8</v>
      </c>
      <c r="BD25" s="7"/>
      <c r="BE25" s="7"/>
      <c r="BF25" s="25" t="str">
        <f>BC24&amp;"_"&amp;BH24&amp;"_"&amp;BH12</f>
        <v>325_326_402</v>
      </c>
      <c r="BG25" s="9" t="s">
        <v>7</v>
      </c>
      <c r="BH25" s="8"/>
      <c r="BI25" s="12" t="s">
        <v>12</v>
      </c>
      <c r="BJ25" s="12" t="s">
        <v>13</v>
      </c>
      <c r="BL25" s="7"/>
      <c r="BM25" s="20" t="s">
        <v>8</v>
      </c>
      <c r="BN25" s="10">
        <f>BO26-BM26</f>
        <v>0</v>
      </c>
    </row>
    <row r="26" spans="3:66" x14ac:dyDescent="0.25">
      <c r="AA26" s="6">
        <f>SUM(AD25:AD26)</f>
        <v>0</v>
      </c>
      <c r="AB26" s="7"/>
      <c r="AC26" s="7"/>
      <c r="AD26" s="25" t="str">
        <f>AA24&amp;"_"&amp;AF24&amp;"_"&amp;AF36</f>
        <v>319_320_509</v>
      </c>
      <c r="AE26" s="9" t="s">
        <v>9</v>
      </c>
      <c r="AF26" s="8"/>
      <c r="AG26" s="25" t="str">
        <f>AF36&amp;"_"&amp;AF24&amp;"_"&amp;AF12</f>
        <v>509_320_408</v>
      </c>
      <c r="AH26" s="26" t="str">
        <f>AF36&amp;"_"&amp;AF24&amp;"_"&amp;AL24</f>
        <v>509_320_321</v>
      </c>
      <c r="AJ26" s="7"/>
      <c r="AK26" s="7">
        <f>SUM(AE22,AH26)</f>
        <v>0</v>
      </c>
      <c r="AL26" s="10"/>
      <c r="AO26" s="6">
        <f>SUM(AR25:AR26)</f>
        <v>0</v>
      </c>
      <c r="AP26" s="7"/>
      <c r="AQ26" s="7"/>
      <c r="AR26" s="25" t="str">
        <f>AO24&amp;"_"&amp;AT24&amp;"_"&amp;AT36</f>
        <v>322_323_510</v>
      </c>
      <c r="AS26" s="9" t="s">
        <v>9</v>
      </c>
      <c r="AT26" s="8"/>
      <c r="AU26" s="25" t="str">
        <f>AT36&amp;"_"&amp;AT24&amp;"_"&amp;AT12</f>
        <v>510_323_405</v>
      </c>
      <c r="AV26" s="26" t="str">
        <f>AT36&amp;"_"&amp;AT24&amp;"_"&amp;AZ24</f>
        <v>510_323_324</v>
      </c>
      <c r="AX26" s="7"/>
      <c r="AY26" s="7">
        <f>SUM(AS22,AV26)</f>
        <v>0</v>
      </c>
      <c r="AZ26" s="10"/>
      <c r="BC26" s="6">
        <f>SUM(BF25:BF26)</f>
        <v>0</v>
      </c>
      <c r="BD26" s="7"/>
      <c r="BE26" s="7"/>
      <c r="BF26" s="25" t="str">
        <f>BC24&amp;"_"&amp;BH24&amp;"_"&amp;BH36</f>
        <v>325_326_511</v>
      </c>
      <c r="BG26" s="9" t="s">
        <v>9</v>
      </c>
      <c r="BH26" s="8"/>
      <c r="BI26" s="25" t="str">
        <f>BH36&amp;"_"&amp;BH24&amp;"_"&amp;BH12</f>
        <v>511_326_402</v>
      </c>
      <c r="BJ26" s="26" t="str">
        <f>BH36&amp;"_"&amp;BH24&amp;"_"&amp;BN24</f>
        <v>511_326_327</v>
      </c>
      <c r="BL26" s="7"/>
      <c r="BM26" s="7">
        <f>SUM(BG22,BJ26)</f>
        <v>0</v>
      </c>
      <c r="BN26" s="10"/>
    </row>
    <row r="27" spans="3:66" x14ac:dyDescent="0.25">
      <c r="AA27" s="6"/>
      <c r="AB27" s="7"/>
      <c r="AC27" s="7"/>
      <c r="AF27" s="8"/>
      <c r="AG27" s="7"/>
      <c r="AH27" s="7"/>
      <c r="AI27" s="7"/>
      <c r="AJ27" s="7"/>
      <c r="AK27" s="7"/>
      <c r="AL27" s="10"/>
      <c r="AO27" s="6"/>
      <c r="AP27" s="7"/>
      <c r="AQ27" s="7"/>
      <c r="AT27" s="8"/>
      <c r="AU27" s="7"/>
      <c r="AV27" s="7"/>
      <c r="AW27" s="7"/>
      <c r="AX27" s="7"/>
      <c r="AY27" s="7"/>
      <c r="AZ27" s="10"/>
      <c r="BC27" s="6"/>
      <c r="BD27" s="7"/>
      <c r="BE27" s="7"/>
      <c r="BH27" s="8"/>
      <c r="BI27" s="7"/>
      <c r="BJ27" s="7"/>
      <c r="BK27" s="7"/>
      <c r="BL27" s="7"/>
      <c r="BM27" s="7"/>
      <c r="BN27" s="10"/>
    </row>
    <row r="28" spans="3:66" x14ac:dyDescent="0.25">
      <c r="AA28" s="6"/>
      <c r="AB28" s="7"/>
      <c r="AC28" s="7"/>
      <c r="AD28" s="7"/>
      <c r="AE28" s="7"/>
      <c r="AF28" s="8"/>
      <c r="AG28" s="7"/>
      <c r="AH28" s="7"/>
      <c r="AI28" s="7"/>
      <c r="AJ28" s="7"/>
      <c r="AK28" s="7"/>
      <c r="AL28" s="10"/>
      <c r="AO28" s="6"/>
      <c r="AP28" s="7"/>
      <c r="AQ28" s="7"/>
      <c r="AR28" s="7"/>
      <c r="AS28" s="7"/>
      <c r="AT28" s="8"/>
      <c r="AU28" s="7"/>
      <c r="AV28" s="7"/>
      <c r="AW28" s="7"/>
      <c r="AX28" s="7"/>
      <c r="AY28" s="7"/>
      <c r="AZ28" s="10"/>
      <c r="BC28" s="6"/>
      <c r="BD28" s="7"/>
      <c r="BE28" s="7"/>
      <c r="BF28" s="7"/>
      <c r="BG28" s="7"/>
      <c r="BH28" s="8"/>
      <c r="BI28" s="7"/>
      <c r="BJ28" s="7"/>
      <c r="BK28" s="7"/>
      <c r="BL28" s="7"/>
      <c r="BM28" s="7"/>
      <c r="BN28" s="10"/>
    </row>
    <row r="29" spans="3:66" x14ac:dyDescent="0.25">
      <c r="AA29" s="16"/>
      <c r="AB29" s="17"/>
      <c r="AC29" s="17"/>
      <c r="AD29" s="17">
        <f>SUM(AH23,AD22,AD26)</f>
        <v>0</v>
      </c>
      <c r="AE29" s="22" t="s">
        <v>10</v>
      </c>
      <c r="AF29" s="18"/>
      <c r="AG29" s="22" t="s">
        <v>12</v>
      </c>
      <c r="AH29" s="17">
        <f>SUM(AG26:AH26)</f>
        <v>0</v>
      </c>
      <c r="AI29" s="17"/>
      <c r="AJ29" s="17"/>
      <c r="AK29" s="17"/>
      <c r="AL29" s="19"/>
      <c r="AO29" s="16"/>
      <c r="AP29" s="17"/>
      <c r="AQ29" s="17"/>
      <c r="AR29" s="17">
        <f>SUM(AV23,AR22,AR26)</f>
        <v>0</v>
      </c>
      <c r="AS29" s="22" t="s">
        <v>10</v>
      </c>
      <c r="AT29" s="18"/>
      <c r="AU29" s="22" t="s">
        <v>12</v>
      </c>
      <c r="AV29" s="17">
        <f>SUM(AU26:AV26)</f>
        <v>0</v>
      </c>
      <c r="AW29" s="17"/>
      <c r="AX29" s="17"/>
      <c r="AY29" s="17"/>
      <c r="AZ29" s="19"/>
      <c r="BC29" s="16"/>
      <c r="BD29" s="17"/>
      <c r="BE29" s="17"/>
      <c r="BF29" s="17">
        <f>SUM(BJ23,BF22,BF26)</f>
        <v>0</v>
      </c>
      <c r="BG29" s="22" t="s">
        <v>10</v>
      </c>
      <c r="BH29" s="18"/>
      <c r="BI29" s="22" t="s">
        <v>12</v>
      </c>
      <c r="BJ29" s="17">
        <f>SUM(BI26:BJ26)</f>
        <v>0</v>
      </c>
      <c r="BK29" s="17"/>
      <c r="BL29" s="17"/>
      <c r="BM29" s="17"/>
      <c r="BN29" s="19"/>
    </row>
    <row r="30" spans="3:66" x14ac:dyDescent="0.25">
      <c r="C30" s="2"/>
      <c r="D30" s="3"/>
      <c r="E30" s="3"/>
      <c r="F30" s="3"/>
      <c r="G30" s="3">
        <f>F31-F29</f>
        <v>0</v>
      </c>
      <c r="H30" s="14">
        <v>223</v>
      </c>
      <c r="I30" s="3"/>
      <c r="J30" s="3"/>
      <c r="K30" s="3"/>
      <c r="L30" s="3"/>
      <c r="M30" s="3"/>
      <c r="N30" s="5"/>
      <c r="O30" s="2"/>
      <c r="P30" s="3"/>
      <c r="Q30" s="3"/>
      <c r="R30" s="3"/>
      <c r="S30" s="3"/>
      <c r="T30" s="14">
        <v>114</v>
      </c>
      <c r="U30" s="3">
        <f>V29-V31</f>
        <v>0</v>
      </c>
      <c r="V30" s="3"/>
      <c r="W30" s="3"/>
      <c r="X30" s="3"/>
      <c r="Y30" s="3"/>
      <c r="Z30" s="5"/>
      <c r="AA30" s="2"/>
      <c r="AB30" s="3"/>
      <c r="AC30" s="3"/>
      <c r="AD30" s="3"/>
      <c r="AE30" s="3">
        <f>AD31-AD29</f>
        <v>0</v>
      </c>
      <c r="AF30" s="4"/>
      <c r="AG30" s="3">
        <f>AH29-AH31</f>
        <v>0</v>
      </c>
      <c r="AH30" s="3"/>
      <c r="AI30" s="3"/>
      <c r="AJ30" s="3"/>
      <c r="AK30" s="3"/>
      <c r="AL30" s="5"/>
      <c r="AM30" s="2"/>
      <c r="AN30" s="3"/>
      <c r="AO30" s="2"/>
      <c r="AP30" s="3"/>
      <c r="AQ30" s="3"/>
      <c r="AR30" s="3"/>
      <c r="AS30" s="3">
        <f>AR31-AR29</f>
        <v>0</v>
      </c>
      <c r="AT30" s="4"/>
      <c r="AU30" s="3">
        <f>AV29-AV31</f>
        <v>0</v>
      </c>
      <c r="AV30" s="3"/>
      <c r="AW30" s="3"/>
      <c r="AX30" s="3"/>
      <c r="AY30" s="3"/>
      <c r="AZ30" s="5"/>
      <c r="BA30" s="2"/>
      <c r="BB30" s="3"/>
      <c r="BC30" s="2"/>
      <c r="BD30" s="3"/>
      <c r="BE30" s="3"/>
      <c r="BF30" s="3"/>
      <c r="BG30" s="3">
        <f>BF31-BF29</f>
        <v>0</v>
      </c>
      <c r="BH30" s="4"/>
      <c r="BI30" s="3">
        <f>BJ29-BJ31</f>
        <v>0</v>
      </c>
      <c r="BJ30" s="3"/>
      <c r="BK30" s="3"/>
      <c r="BL30" s="3"/>
      <c r="BM30" s="3"/>
      <c r="BN30" s="5"/>
    </row>
    <row r="31" spans="3:66" x14ac:dyDescent="0.25">
      <c r="C31" s="6"/>
      <c r="D31" s="7"/>
      <c r="E31" s="7"/>
      <c r="F31" s="7">
        <f>SUM(F34:G34)</f>
        <v>0</v>
      </c>
      <c r="G31" s="12" t="s">
        <v>10</v>
      </c>
      <c r="H31" s="23" t="s">
        <v>20</v>
      </c>
      <c r="I31" s="12"/>
      <c r="J31" s="7"/>
      <c r="K31" s="7"/>
      <c r="L31" s="7"/>
      <c r="M31" s="7"/>
      <c r="N31" s="10"/>
      <c r="O31" s="6"/>
      <c r="P31" s="7"/>
      <c r="Q31" s="7"/>
      <c r="R31" s="7"/>
      <c r="S31" s="12"/>
      <c r="T31" s="23" t="s">
        <v>19</v>
      </c>
      <c r="U31" s="12" t="s">
        <v>12</v>
      </c>
      <c r="V31" s="7">
        <f>SUM(R37,V34)</f>
        <v>0</v>
      </c>
      <c r="W31" s="7"/>
      <c r="X31" s="7"/>
      <c r="Y31" s="7"/>
      <c r="Z31" s="10"/>
      <c r="AA31" s="6"/>
      <c r="AB31" s="7"/>
      <c r="AC31" s="7"/>
      <c r="AD31" s="7">
        <f>SUM(AC34:AE34)</f>
        <v>0</v>
      </c>
      <c r="AE31" s="12" t="s">
        <v>10</v>
      </c>
      <c r="AF31" s="8"/>
      <c r="AG31" s="12" t="s">
        <v>12</v>
      </c>
      <c r="AH31" s="7">
        <f>SUM(AD37,AH38,AH33)</f>
        <v>0</v>
      </c>
      <c r="AI31" s="7"/>
      <c r="AJ31" s="7"/>
      <c r="AK31" s="7"/>
      <c r="AL31" s="10"/>
      <c r="AM31" s="6"/>
      <c r="AN31" s="7"/>
      <c r="AO31" s="6"/>
      <c r="AP31" s="7"/>
      <c r="AQ31" s="7"/>
      <c r="AR31" s="7">
        <f>SUM(AQ34:AS34)</f>
        <v>0</v>
      </c>
      <c r="AS31" s="12" t="s">
        <v>10</v>
      </c>
      <c r="AT31" s="8"/>
      <c r="AU31" s="12" t="s">
        <v>12</v>
      </c>
      <c r="AV31" s="7">
        <f>SUM(AR37,AV38,AV33)</f>
        <v>0</v>
      </c>
      <c r="AW31" s="7"/>
      <c r="AX31" s="7"/>
      <c r="AY31" s="7"/>
      <c r="AZ31" s="10"/>
      <c r="BA31" s="6"/>
      <c r="BB31" s="7"/>
      <c r="BC31" s="6"/>
      <c r="BD31" s="7"/>
      <c r="BE31" s="7"/>
      <c r="BF31" s="7">
        <f>SUM(BE34:BG34)</f>
        <v>0</v>
      </c>
      <c r="BG31" s="12" t="s">
        <v>10</v>
      </c>
      <c r="BH31" s="8"/>
      <c r="BI31" s="12" t="s">
        <v>12</v>
      </c>
      <c r="BJ31" s="7">
        <f>SUM(BF37,BJ38,BJ33)</f>
        <v>0</v>
      </c>
      <c r="BK31" s="7"/>
      <c r="BL31" s="7"/>
      <c r="BM31" s="7"/>
      <c r="BN31" s="10"/>
    </row>
    <row r="32" spans="3:66" x14ac:dyDescent="0.25">
      <c r="C32" s="6"/>
      <c r="D32" s="7"/>
      <c r="E32" s="7"/>
      <c r="F32" s="7"/>
      <c r="G32" s="7"/>
      <c r="H32" s="23" t="s">
        <v>20</v>
      </c>
      <c r="I32" s="7"/>
      <c r="J32" s="7"/>
      <c r="K32" s="7"/>
      <c r="L32" s="7"/>
      <c r="M32" s="7"/>
      <c r="N32" s="10"/>
      <c r="O32" s="6"/>
      <c r="P32" s="7"/>
      <c r="Q32" s="7"/>
      <c r="R32" s="7"/>
      <c r="S32" s="7"/>
      <c r="T32" s="23" t="s">
        <v>19</v>
      </c>
      <c r="U32" s="7"/>
      <c r="V32" s="7"/>
      <c r="W32" s="7"/>
      <c r="X32" s="7"/>
      <c r="Y32" s="7"/>
      <c r="Z32" s="10"/>
      <c r="AA32" s="6"/>
      <c r="AB32" s="7"/>
      <c r="AC32" s="7"/>
      <c r="AD32" s="7"/>
      <c r="AE32" s="7"/>
      <c r="AF32" s="8"/>
      <c r="AG32" s="7"/>
      <c r="AH32" s="7"/>
      <c r="AI32" s="7"/>
      <c r="AJ32" s="7"/>
      <c r="AK32" s="7"/>
      <c r="AL32" s="10"/>
      <c r="AM32" s="6"/>
      <c r="AN32" s="7"/>
      <c r="AO32" s="6"/>
      <c r="AP32" s="7"/>
      <c r="AQ32" s="7"/>
      <c r="AR32" s="7"/>
      <c r="AS32" s="7"/>
      <c r="AT32" s="8"/>
      <c r="AU32" s="7"/>
      <c r="AV32" s="7"/>
      <c r="AW32" s="7"/>
      <c r="AX32" s="7"/>
      <c r="AY32" s="7"/>
      <c r="AZ32" s="10"/>
      <c r="BA32" s="6"/>
      <c r="BB32" s="7"/>
      <c r="BC32" s="6"/>
      <c r="BD32" s="7"/>
      <c r="BE32" s="7"/>
      <c r="BF32" s="7"/>
      <c r="BG32" s="7"/>
      <c r="BH32" s="8"/>
      <c r="BI32" s="7"/>
      <c r="BJ32" s="7"/>
      <c r="BK32" s="7"/>
      <c r="BL32" s="7"/>
      <c r="BM32" s="7"/>
      <c r="BN32" s="10"/>
    </row>
    <row r="33" spans="2:67" x14ac:dyDescent="0.25">
      <c r="C33" s="6"/>
      <c r="D33" s="7"/>
      <c r="E33" s="7"/>
      <c r="F33" s="7"/>
      <c r="G33" s="7"/>
      <c r="H33" s="23" t="s">
        <v>20</v>
      </c>
      <c r="I33" s="9"/>
      <c r="J33" s="7"/>
      <c r="K33" s="7"/>
      <c r="L33" s="7"/>
      <c r="M33" s="7"/>
      <c r="N33" s="10"/>
      <c r="O33" s="6"/>
      <c r="P33" s="7"/>
      <c r="Q33" s="7"/>
      <c r="R33" s="7"/>
      <c r="S33" s="7"/>
      <c r="T33" s="23" t="s">
        <v>19</v>
      </c>
      <c r="W33" s="7"/>
      <c r="X33" s="7"/>
      <c r="Y33" s="7"/>
      <c r="Z33" s="10"/>
      <c r="AA33" s="6"/>
      <c r="AB33" s="7"/>
      <c r="AC33" s="7"/>
      <c r="AD33" s="7"/>
      <c r="AE33" s="7"/>
      <c r="AF33" s="8"/>
      <c r="AG33" s="9" t="s">
        <v>14</v>
      </c>
      <c r="AH33" s="26" t="str">
        <f>AT36&amp;"_"&amp;AF36&amp;"_"&amp;AF24</f>
        <v>510_509_320</v>
      </c>
      <c r="AI33" s="7"/>
      <c r="AJ33" s="7"/>
      <c r="AK33" s="7"/>
      <c r="AL33" s="10"/>
      <c r="AM33" s="6"/>
      <c r="AN33" s="7"/>
      <c r="AO33" s="6"/>
      <c r="AP33" s="7"/>
      <c r="AQ33" s="7"/>
      <c r="AR33" s="7"/>
      <c r="AS33" s="7"/>
      <c r="AT33" s="8"/>
      <c r="AU33" s="9" t="s">
        <v>14</v>
      </c>
      <c r="AV33" s="26" t="str">
        <f>BH36&amp;"_"&amp;AT36&amp;"_"&amp;AT24</f>
        <v>511_510_323</v>
      </c>
      <c r="AW33" s="7"/>
      <c r="AX33" s="7"/>
      <c r="AY33" s="7"/>
      <c r="AZ33" s="10"/>
      <c r="BA33" s="6"/>
      <c r="BB33" s="7"/>
      <c r="BC33" s="6"/>
      <c r="BD33" s="7"/>
      <c r="BE33" s="7"/>
      <c r="BF33" s="7"/>
      <c r="BG33" s="7"/>
      <c r="BH33" s="8"/>
      <c r="BI33" s="9" t="s">
        <v>14</v>
      </c>
      <c r="BJ33" s="26" t="str">
        <f>BO36&amp;"_"&amp;BH36&amp;"_"&amp;BH24</f>
        <v>512_511_326</v>
      </c>
      <c r="BK33" s="7"/>
      <c r="BL33" s="7"/>
      <c r="BM33" s="7"/>
      <c r="BN33" s="10"/>
    </row>
    <row r="34" spans="2:67" x14ac:dyDescent="0.25">
      <c r="C34" s="6">
        <f>SUM(I38,J34,F34)</f>
        <v>0</v>
      </c>
      <c r="D34" s="7"/>
      <c r="F34" s="26" t="str">
        <f>H30&amp;"_"&amp;H36&amp;"_"&amp;B36</f>
        <v>223_224_508</v>
      </c>
      <c r="G34" s="26" t="str">
        <f>H30&amp;"_"&amp;H36&amp;"_"&amp;T36</f>
        <v>223_224_113</v>
      </c>
      <c r="H34" s="23" t="s">
        <v>20</v>
      </c>
      <c r="I34" s="9" t="s">
        <v>15</v>
      </c>
      <c r="J34" s="26" t="str">
        <f>T36&amp;"_"&amp;H36&amp;"_"&amp;B36</f>
        <v>113_224_508</v>
      </c>
      <c r="K34" s="7"/>
      <c r="L34" s="7"/>
      <c r="M34" s="7">
        <f>SUM(J33:J35)</f>
        <v>0</v>
      </c>
      <c r="N34" s="10"/>
      <c r="O34" s="6">
        <f>SUM(U38,V35,Q34)</f>
        <v>0</v>
      </c>
      <c r="P34" s="7"/>
      <c r="Q34" s="11"/>
      <c r="R34" s="11"/>
      <c r="S34" s="11"/>
      <c r="T34" s="23" t="s">
        <v>19</v>
      </c>
      <c r="U34" s="9" t="s">
        <v>14</v>
      </c>
      <c r="V34" s="26" t="str">
        <f>AF36&amp;"_"&amp;T36&amp;"_"&amp;T30</f>
        <v>509_113_114</v>
      </c>
      <c r="W34" s="7"/>
      <c r="X34" s="7"/>
      <c r="Y34" s="7">
        <f>SUM(V34:V35)</f>
        <v>0</v>
      </c>
      <c r="Z34" s="10"/>
      <c r="AA34" s="6">
        <f>SUM(AG38,AH34,AC34)</f>
        <v>0</v>
      </c>
      <c r="AB34" s="7"/>
      <c r="AC34" s="25" t="str">
        <f>AF24&amp;"_"&amp;AF36&amp;"_"&amp;T36</f>
        <v>320_509_113</v>
      </c>
      <c r="AD34" s="26" t="str">
        <f>AF24&amp;"_"&amp;AF36&amp;"_"&amp;AF50</f>
        <v>320_509_504</v>
      </c>
      <c r="AE34" s="26" t="str">
        <f>AF24&amp;"_"&amp;AF36&amp;"_"&amp;AT36</f>
        <v>320_509_510</v>
      </c>
      <c r="AF34" s="8"/>
      <c r="AG34" s="9" t="s">
        <v>15</v>
      </c>
      <c r="AH34" s="25" t="str">
        <f>AT36&amp;"_"&amp;AF36&amp;"_"&amp;T36</f>
        <v>510_509_113</v>
      </c>
      <c r="AI34" s="7"/>
      <c r="AJ34" s="7"/>
      <c r="AK34" s="7">
        <f>SUM(AH33:AH35)</f>
        <v>0</v>
      </c>
      <c r="AL34" s="10"/>
      <c r="AM34" s="6">
        <f>SUM(AU38,AV34,AQ34)</f>
        <v>0</v>
      </c>
      <c r="AN34" s="7"/>
      <c r="AO34" s="6"/>
      <c r="AP34" s="7"/>
      <c r="AQ34" s="25" t="str">
        <f>AT24&amp;"_"&amp;AT36&amp;"_"&amp;AF36</f>
        <v>323_510_509</v>
      </c>
      <c r="AR34" s="26" t="str">
        <f>AT24&amp;"_"&amp;AT36&amp;"_"&amp;AT50</f>
        <v>323_510_505</v>
      </c>
      <c r="AS34" s="26" t="str">
        <f>AT24&amp;"_"&amp;AT36&amp;"_"&amp;BH36</f>
        <v>323_510_511</v>
      </c>
      <c r="AT34" s="8"/>
      <c r="AU34" s="9" t="s">
        <v>15</v>
      </c>
      <c r="AV34" s="25" t="str">
        <f>BH36&amp;"_"&amp;AT36&amp;"_"&amp;AF36</f>
        <v>511_510_509</v>
      </c>
      <c r="AW34" s="7"/>
      <c r="AX34" s="7"/>
      <c r="AY34" s="7">
        <f>SUM(AV33:AV35)</f>
        <v>0</v>
      </c>
      <c r="AZ34" s="10"/>
      <c r="BA34" s="6">
        <f>SUM(BI38,BJ34,BE34)</f>
        <v>0</v>
      </c>
      <c r="BB34" s="7"/>
      <c r="BC34" s="6"/>
      <c r="BD34" s="7"/>
      <c r="BE34" s="25" t="str">
        <f>BH24&amp;"_"&amp;BH36&amp;"_"&amp;AT36</f>
        <v>326_511_510</v>
      </c>
      <c r="BF34" s="26" t="str">
        <f>BH24&amp;"_"&amp;BH36&amp;"_"&amp;BH50</f>
        <v>326_511_506</v>
      </c>
      <c r="BG34" s="26" t="str">
        <f>BH24&amp;"_"&amp;BH36&amp;"_"&amp;BO36</f>
        <v>326_511_512</v>
      </c>
      <c r="BH34" s="8"/>
      <c r="BI34" s="9" t="s">
        <v>15</v>
      </c>
      <c r="BJ34" s="25" t="str">
        <f>BO36&amp;"_"&amp;BH36&amp;"_"&amp;AT36</f>
        <v>512_511_510</v>
      </c>
      <c r="BK34" s="7"/>
      <c r="BL34" s="7"/>
      <c r="BM34" s="7">
        <f>SUM(BJ33:BJ35)</f>
        <v>0</v>
      </c>
      <c r="BN34" s="10"/>
    </row>
    <row r="35" spans="2:67" x14ac:dyDescent="0.25">
      <c r="C35" s="21" t="s">
        <v>15</v>
      </c>
      <c r="D35" s="7"/>
      <c r="F35" s="12">
        <v>8</v>
      </c>
      <c r="G35" s="12">
        <v>9</v>
      </c>
      <c r="H35" s="23" t="s">
        <v>20</v>
      </c>
      <c r="I35" s="9" t="s">
        <v>16</v>
      </c>
      <c r="J35" s="26" t="str">
        <f>T36&amp;"_"&amp;H36&amp;"_"&amp;H41</f>
        <v>113_224_225</v>
      </c>
      <c r="K35" s="7"/>
      <c r="L35" s="7"/>
      <c r="M35" s="20" t="s">
        <v>15</v>
      </c>
      <c r="N35" s="10">
        <f>M34-O34</f>
        <v>0</v>
      </c>
      <c r="O35" s="21" t="s">
        <v>15</v>
      </c>
      <c r="P35" s="7"/>
      <c r="Q35" s="12"/>
      <c r="R35" s="12"/>
      <c r="S35" s="12"/>
      <c r="T35" s="23" t="s">
        <v>19</v>
      </c>
      <c r="U35" s="9" t="s">
        <v>15</v>
      </c>
      <c r="V35" s="25" t="str">
        <f>AF36&amp;"_"&amp;T36&amp;"_"&amp;H36</f>
        <v>509_113_224</v>
      </c>
      <c r="W35" s="7"/>
      <c r="X35" s="7"/>
      <c r="Y35" s="20" t="s">
        <v>15</v>
      </c>
      <c r="Z35" s="10">
        <f>Y34-AA34</f>
        <v>0</v>
      </c>
      <c r="AA35" s="21" t="s">
        <v>15</v>
      </c>
      <c r="AB35" s="7"/>
      <c r="AC35" s="12">
        <v>8</v>
      </c>
      <c r="AD35" s="12" t="s">
        <v>10</v>
      </c>
      <c r="AE35" s="12">
        <v>9</v>
      </c>
      <c r="AF35" s="8"/>
      <c r="AG35" s="9" t="s">
        <v>16</v>
      </c>
      <c r="AH35" s="25" t="str">
        <f>AT36&amp;"_"&amp;AF36&amp;"_"&amp;AF50</f>
        <v>510_509_504</v>
      </c>
      <c r="AI35" s="7"/>
      <c r="AJ35" s="7"/>
      <c r="AK35" s="20" t="s">
        <v>15</v>
      </c>
      <c r="AL35" s="10">
        <f>AK34-AM34</f>
        <v>0</v>
      </c>
      <c r="AM35" s="21" t="s">
        <v>15</v>
      </c>
      <c r="AN35" s="20"/>
      <c r="AO35" s="21"/>
      <c r="AP35" s="7"/>
      <c r="AQ35" s="12">
        <v>8</v>
      </c>
      <c r="AR35" s="12" t="s">
        <v>10</v>
      </c>
      <c r="AS35" s="12">
        <v>9</v>
      </c>
      <c r="AT35" s="8"/>
      <c r="AU35" s="9" t="s">
        <v>16</v>
      </c>
      <c r="AV35" s="25" t="str">
        <f>BH36&amp;"_"&amp;AT36&amp;"_"&amp;AT50</f>
        <v>511_510_505</v>
      </c>
      <c r="AW35" s="7"/>
      <c r="AX35" s="7"/>
      <c r="AY35" s="20" t="s">
        <v>15</v>
      </c>
      <c r="AZ35" s="10">
        <f>AY34-BA34</f>
        <v>0</v>
      </c>
      <c r="BA35" s="21" t="s">
        <v>15</v>
      </c>
      <c r="BB35" s="20"/>
      <c r="BC35" s="21"/>
      <c r="BD35" s="7"/>
      <c r="BE35" s="12">
        <v>8</v>
      </c>
      <c r="BF35" s="12" t="s">
        <v>10</v>
      </c>
      <c r="BG35" s="12">
        <v>9</v>
      </c>
      <c r="BH35" s="8"/>
      <c r="BI35" s="9" t="s">
        <v>16</v>
      </c>
      <c r="BJ35" s="25" t="str">
        <f>BO36&amp;"_"&amp;BH36&amp;"_"&amp;BH50</f>
        <v>512_511_506</v>
      </c>
      <c r="BK35" s="7"/>
      <c r="BL35" s="7"/>
      <c r="BM35" s="20" t="s">
        <v>15</v>
      </c>
      <c r="BN35" s="10">
        <f>BM34-BO34</f>
        <v>0</v>
      </c>
    </row>
    <row r="36" spans="2:67" x14ac:dyDescent="0.25">
      <c r="B36" s="14">
        <v>508</v>
      </c>
      <c r="C36" s="13"/>
      <c r="D36" s="8"/>
      <c r="E36" s="8"/>
      <c r="F36" s="8"/>
      <c r="G36" s="8"/>
      <c r="H36" s="14">
        <v>224</v>
      </c>
      <c r="I36" s="8"/>
      <c r="J36" s="8"/>
      <c r="K36" s="8"/>
      <c r="L36" s="8"/>
      <c r="M36" s="8"/>
      <c r="N36" s="15"/>
      <c r="O36" s="13"/>
      <c r="P36" s="8"/>
      <c r="Q36" s="8"/>
      <c r="R36" s="8"/>
      <c r="S36" s="8"/>
      <c r="T36" s="14">
        <v>113</v>
      </c>
      <c r="U36" s="8"/>
      <c r="V36" s="8"/>
      <c r="W36" s="8"/>
      <c r="X36" s="8"/>
      <c r="Y36" s="8"/>
      <c r="Z36" s="15"/>
      <c r="AA36" s="13"/>
      <c r="AB36" s="8"/>
      <c r="AC36" s="8"/>
      <c r="AD36" s="8"/>
      <c r="AE36" s="8"/>
      <c r="AF36" s="14">
        <v>509</v>
      </c>
      <c r="AG36" s="8"/>
      <c r="AH36" s="8"/>
      <c r="AI36" s="8"/>
      <c r="AJ36" s="8"/>
      <c r="AK36" s="8"/>
      <c r="AL36" s="15"/>
      <c r="AM36" s="13"/>
      <c r="AN36" s="8"/>
      <c r="AO36" s="13"/>
      <c r="AP36" s="8"/>
      <c r="AQ36" s="8"/>
      <c r="AR36" s="8"/>
      <c r="AS36" s="8"/>
      <c r="AT36" s="14">
        <v>510</v>
      </c>
      <c r="AU36" s="8"/>
      <c r="AV36" s="8"/>
      <c r="AW36" s="8"/>
      <c r="AX36" s="8"/>
      <c r="AY36" s="8"/>
      <c r="AZ36" s="15"/>
      <c r="BA36" s="13"/>
      <c r="BB36" s="8"/>
      <c r="BC36" s="13"/>
      <c r="BD36" s="8"/>
      <c r="BE36" s="8"/>
      <c r="BF36" s="8"/>
      <c r="BG36" s="8"/>
      <c r="BH36" s="14">
        <v>511</v>
      </c>
      <c r="BI36" s="8"/>
      <c r="BJ36" s="8"/>
      <c r="BK36" s="8"/>
      <c r="BL36" s="8"/>
      <c r="BM36" s="8"/>
      <c r="BN36" s="15"/>
      <c r="BO36" s="14">
        <v>512</v>
      </c>
    </row>
    <row r="37" spans="2:67" x14ac:dyDescent="0.25">
      <c r="C37" s="21" t="s">
        <v>8</v>
      </c>
      <c r="D37" s="7"/>
      <c r="E37" s="7"/>
      <c r="F37" s="25" t="str">
        <f>B36&amp;"_"&amp;H36&amp;"_"&amp;T36</f>
        <v>508_224_113</v>
      </c>
      <c r="G37" s="9" t="s">
        <v>8</v>
      </c>
      <c r="H37" s="23" t="s">
        <v>20</v>
      </c>
      <c r="I37" s="12"/>
      <c r="J37" s="12"/>
      <c r="K37" s="12"/>
      <c r="L37" s="7"/>
      <c r="M37" s="20" t="s">
        <v>8</v>
      </c>
      <c r="N37" s="10">
        <f>O38-M38</f>
        <v>0</v>
      </c>
      <c r="O37" s="21" t="s">
        <v>8</v>
      </c>
      <c r="P37" s="7"/>
      <c r="Q37" s="7"/>
      <c r="R37" s="25" t="str">
        <f>H36&amp;"_"&amp;T36&amp;"_"&amp;T30</f>
        <v>224_113_114</v>
      </c>
      <c r="S37" s="9" t="s">
        <v>7</v>
      </c>
      <c r="T37" s="23" t="s">
        <v>19</v>
      </c>
      <c r="U37" s="12" t="s">
        <v>11</v>
      </c>
      <c r="V37" s="12" t="s">
        <v>13</v>
      </c>
      <c r="X37" s="7"/>
      <c r="Y37" s="20" t="s">
        <v>8</v>
      </c>
      <c r="Z37" s="10">
        <f>AA38-Y38</f>
        <v>0</v>
      </c>
      <c r="AA37" s="21" t="s">
        <v>8</v>
      </c>
      <c r="AB37" s="7"/>
      <c r="AC37" s="7"/>
      <c r="AD37" s="25" t="str">
        <f>T36&amp;"_"&amp;AF36&amp;"_"&amp;AF24</f>
        <v>113_509_320</v>
      </c>
      <c r="AE37" s="9" t="s">
        <v>7</v>
      </c>
      <c r="AF37" s="8"/>
      <c r="AG37" s="12" t="s">
        <v>11</v>
      </c>
      <c r="AH37" s="12" t="s">
        <v>12</v>
      </c>
      <c r="AI37" s="12" t="s">
        <v>13</v>
      </c>
      <c r="AJ37" s="7"/>
      <c r="AK37" s="20" t="s">
        <v>8</v>
      </c>
      <c r="AL37" s="10">
        <f>AM38-AK38</f>
        <v>0</v>
      </c>
      <c r="AM37" s="21" t="s">
        <v>8</v>
      </c>
      <c r="AN37" s="20"/>
      <c r="AO37" s="21"/>
      <c r="AP37" s="7"/>
      <c r="AQ37" s="7"/>
      <c r="AR37" s="25" t="str">
        <f>AF36&amp;"_"&amp;AT36&amp;"_"&amp;AT24</f>
        <v>509_510_323</v>
      </c>
      <c r="AS37" s="9" t="s">
        <v>7</v>
      </c>
      <c r="AT37" s="8"/>
      <c r="AU37" s="12" t="s">
        <v>11</v>
      </c>
      <c r="AV37" s="12" t="s">
        <v>12</v>
      </c>
      <c r="AW37" s="12" t="s">
        <v>13</v>
      </c>
      <c r="AX37" s="7"/>
      <c r="AY37" s="20" t="s">
        <v>8</v>
      </c>
      <c r="AZ37" s="10">
        <f>BA38-AY38</f>
        <v>0</v>
      </c>
      <c r="BA37" s="21" t="s">
        <v>8</v>
      </c>
      <c r="BB37" s="20"/>
      <c r="BC37" s="21"/>
      <c r="BD37" s="7"/>
      <c r="BE37" s="7"/>
      <c r="BF37" s="25" t="str">
        <f>AT36&amp;"_"&amp;BH36&amp;"_"&amp;BH24</f>
        <v>510_511_326</v>
      </c>
      <c r="BG37" s="9" t="s">
        <v>7</v>
      </c>
      <c r="BH37" s="8"/>
      <c r="BI37" s="12" t="s">
        <v>11</v>
      </c>
      <c r="BJ37" s="12" t="s">
        <v>12</v>
      </c>
      <c r="BK37" s="12" t="s">
        <v>13</v>
      </c>
      <c r="BL37" s="7"/>
      <c r="BM37" s="20" t="s">
        <v>8</v>
      </c>
      <c r="BN37" s="10">
        <f>BO38-BM38</f>
        <v>0</v>
      </c>
    </row>
    <row r="38" spans="2:67" x14ac:dyDescent="0.25">
      <c r="C38" s="6">
        <f>SUM(F37:F38)</f>
        <v>0</v>
      </c>
      <c r="D38" s="7"/>
      <c r="E38" s="7"/>
      <c r="F38" s="25" t="str">
        <f>B36&amp;"_"&amp;H36&amp;"_"&amp;H41</f>
        <v>508_224_225</v>
      </c>
      <c r="G38" s="9" t="s">
        <v>9</v>
      </c>
      <c r="H38" s="23" t="s">
        <v>20</v>
      </c>
      <c r="I38" s="11"/>
      <c r="J38" s="11"/>
      <c r="K38" s="11"/>
      <c r="L38" s="7"/>
      <c r="M38" s="7">
        <f>SUM(G34,F37,K38)</f>
        <v>0</v>
      </c>
      <c r="N38" s="10"/>
      <c r="O38" s="6">
        <f>SUM(R37:R39)</f>
        <v>0</v>
      </c>
      <c r="P38" s="7"/>
      <c r="Q38" s="7"/>
      <c r="R38" s="25" t="str">
        <f>H36&amp;"_"&amp;T36&amp;"_"&amp;AF36</f>
        <v>224_113_509</v>
      </c>
      <c r="S38" s="9" t="s">
        <v>8</v>
      </c>
      <c r="T38" s="23" t="s">
        <v>19</v>
      </c>
      <c r="U38" s="25" t="str">
        <f>T41&amp;"_"&amp;T36&amp;"_"&amp;H36</f>
        <v>112_113_224</v>
      </c>
      <c r="V38" s="25" t="str">
        <f>T41&amp;"_"&amp;T36&amp;"_"&amp;AF36</f>
        <v>112_113_509</v>
      </c>
      <c r="X38" s="7"/>
      <c r="Y38" s="7">
        <f>SUM(S34,R38,V38)</f>
        <v>0</v>
      </c>
      <c r="Z38" s="10"/>
      <c r="AA38" s="6">
        <f>SUM(AD37:AD39)</f>
        <v>0</v>
      </c>
      <c r="AB38" s="7"/>
      <c r="AC38" s="7"/>
      <c r="AD38" s="25" t="str">
        <f>T36&amp;"_"&amp;AF36&amp;"_"&amp;AT36</f>
        <v>113_509_510</v>
      </c>
      <c r="AE38" s="9" t="s">
        <v>8</v>
      </c>
      <c r="AF38" s="8"/>
      <c r="AG38" s="25" t="str">
        <f>AF50&amp;"_"&amp;AF36&amp;"_"&amp;T36</f>
        <v>504_509_113</v>
      </c>
      <c r="AH38" s="26" t="str">
        <f>AF50&amp;"_"&amp;AF36&amp;"_"&amp;AF24</f>
        <v>504_509_320</v>
      </c>
      <c r="AI38" s="26" t="str">
        <f>AF50&amp;"_"&amp;AF36&amp;"_"&amp;AT36</f>
        <v>504_509_510</v>
      </c>
      <c r="AJ38" s="7"/>
      <c r="AK38" s="7">
        <f>SUM(AE34,AD38,AI38)</f>
        <v>0</v>
      </c>
      <c r="AL38" s="10"/>
      <c r="AM38" s="6">
        <f>SUM(AR37:AR39)</f>
        <v>0</v>
      </c>
      <c r="AN38" s="7"/>
      <c r="AO38" s="6"/>
      <c r="AP38" s="7"/>
      <c r="AQ38" s="7"/>
      <c r="AR38" s="25" t="str">
        <f>AF36&amp;"_"&amp;AT36&amp;"_"&amp;BH36</f>
        <v>509_510_511</v>
      </c>
      <c r="AS38" s="9" t="s">
        <v>8</v>
      </c>
      <c r="AT38" s="8"/>
      <c r="AU38" s="25" t="str">
        <f>AT50&amp;"_"&amp;AT36&amp;"_"&amp;AF36</f>
        <v>505_510_509</v>
      </c>
      <c r="AV38" s="26" t="str">
        <f>AT50&amp;"_"&amp;AT36&amp;"_"&amp;AT24</f>
        <v>505_510_323</v>
      </c>
      <c r="AW38" s="26" t="str">
        <f>AT50&amp;"_"&amp;AT36&amp;"_"&amp;BH36</f>
        <v>505_510_511</v>
      </c>
      <c r="AX38" s="7"/>
      <c r="AY38" s="7">
        <f>SUM(AS34,AR38,AW38)</f>
        <v>0</v>
      </c>
      <c r="AZ38" s="10"/>
      <c r="BA38" s="6">
        <f>SUM(BF37:BF39)</f>
        <v>0</v>
      </c>
      <c r="BB38" s="7"/>
      <c r="BC38" s="6"/>
      <c r="BD38" s="7"/>
      <c r="BE38" s="7"/>
      <c r="BF38" s="25" t="str">
        <f>AT36&amp;"_"&amp;BH36&amp;"_"&amp;BO36</f>
        <v>510_511_512</v>
      </c>
      <c r="BG38" s="9" t="s">
        <v>8</v>
      </c>
      <c r="BH38" s="8"/>
      <c r="BI38" s="25" t="str">
        <f>BH50&amp;"_"&amp;BH36&amp;"_"&amp;AT36</f>
        <v>506_511_510</v>
      </c>
      <c r="BJ38" s="26" t="str">
        <f>BH50&amp;"_"&amp;BH36&amp;"_"&amp;BH24</f>
        <v>506_511_326</v>
      </c>
      <c r="BK38" s="26" t="str">
        <f>BH50&amp;"_"&amp;BH36&amp;"_"&amp;BO36</f>
        <v>506_511_512</v>
      </c>
      <c r="BL38" s="7"/>
      <c r="BM38" s="7">
        <f>SUM(BG34,BF38,BK38)</f>
        <v>0</v>
      </c>
      <c r="BN38" s="10"/>
    </row>
    <row r="39" spans="2:67" x14ac:dyDescent="0.25">
      <c r="C39" s="6"/>
      <c r="D39" s="7"/>
      <c r="E39" s="7"/>
      <c r="H39" s="23" t="s">
        <v>20</v>
      </c>
      <c r="I39" s="7"/>
      <c r="J39" s="7"/>
      <c r="K39" s="7"/>
      <c r="L39" s="7"/>
      <c r="M39" s="7"/>
      <c r="N39" s="10"/>
      <c r="O39" s="6"/>
      <c r="P39" s="7"/>
      <c r="Q39" s="7"/>
      <c r="R39" s="7"/>
      <c r="S39" s="9"/>
      <c r="T39" s="23" t="s">
        <v>19</v>
      </c>
      <c r="U39" s="7"/>
      <c r="V39" s="7"/>
      <c r="W39" s="7"/>
      <c r="X39" s="7"/>
      <c r="Y39" s="7"/>
      <c r="Z39" s="10"/>
      <c r="AA39" s="6"/>
      <c r="AB39" s="7"/>
      <c r="AC39" s="7"/>
      <c r="AD39" s="25" t="str">
        <f>T36&amp;"_"&amp;AF36&amp;"_"&amp;AF50</f>
        <v>113_509_504</v>
      </c>
      <c r="AE39" s="9" t="s">
        <v>9</v>
      </c>
      <c r="AF39" s="8"/>
      <c r="AG39" s="7"/>
      <c r="AH39" s="7"/>
      <c r="AI39" s="7"/>
      <c r="AJ39" s="7"/>
      <c r="AK39" s="7"/>
      <c r="AL39" s="10"/>
      <c r="AM39" s="6"/>
      <c r="AN39" s="7"/>
      <c r="AO39" s="6"/>
      <c r="AP39" s="7"/>
      <c r="AQ39" s="7"/>
      <c r="AR39" s="25" t="str">
        <f>AF36&amp;"_"&amp;AT36&amp;"_"&amp;AT50</f>
        <v>509_510_505</v>
      </c>
      <c r="AS39" s="9" t="s">
        <v>9</v>
      </c>
      <c r="AT39" s="8"/>
      <c r="AU39" s="7"/>
      <c r="AV39" s="7"/>
      <c r="AW39" s="7"/>
      <c r="AX39" s="7"/>
      <c r="AY39" s="7"/>
      <c r="AZ39" s="10"/>
      <c r="BA39" s="6"/>
      <c r="BB39" s="7"/>
      <c r="BC39" s="6"/>
      <c r="BD39" s="7"/>
      <c r="BE39" s="7"/>
      <c r="BF39" s="25" t="str">
        <f>AT36&amp;"_"&amp;BH36&amp;"_"&amp;BH50</f>
        <v>510_511_506</v>
      </c>
      <c r="BG39" s="9" t="s">
        <v>9</v>
      </c>
      <c r="BH39" s="8"/>
      <c r="BI39" s="7"/>
      <c r="BJ39" s="7"/>
      <c r="BK39" s="7"/>
      <c r="BL39" s="7"/>
      <c r="BM39" s="7"/>
      <c r="BN39" s="10"/>
    </row>
    <row r="40" spans="2:67" x14ac:dyDescent="0.25">
      <c r="C40" s="6"/>
      <c r="D40" s="7"/>
      <c r="E40" s="7"/>
      <c r="F40" s="7"/>
      <c r="G40" s="7"/>
      <c r="H40" s="23" t="s">
        <v>20</v>
      </c>
      <c r="I40" s="7"/>
      <c r="J40" s="7"/>
      <c r="K40" s="7"/>
      <c r="L40" s="7"/>
      <c r="M40" s="7"/>
      <c r="N40" s="10"/>
      <c r="O40" s="6"/>
      <c r="P40" s="7"/>
      <c r="Q40" s="7"/>
      <c r="R40" s="7"/>
      <c r="S40" s="7"/>
      <c r="T40" s="23" t="s">
        <v>19</v>
      </c>
      <c r="U40" s="7"/>
      <c r="V40" s="7"/>
      <c r="W40" s="7"/>
      <c r="X40" s="7"/>
      <c r="Y40" s="7"/>
      <c r="Z40" s="10"/>
      <c r="AA40" s="6"/>
      <c r="AB40" s="7"/>
      <c r="AC40" s="7"/>
      <c r="AD40" s="7"/>
      <c r="AE40" s="7"/>
      <c r="AF40" s="8"/>
      <c r="AG40" s="7"/>
      <c r="AH40" s="7"/>
      <c r="AI40" s="7"/>
      <c r="AJ40" s="7"/>
      <c r="AK40" s="7"/>
      <c r="AL40" s="10"/>
      <c r="AM40" s="6"/>
      <c r="AN40" s="7"/>
      <c r="AO40" s="6"/>
      <c r="AP40" s="7"/>
      <c r="AQ40" s="7"/>
      <c r="AR40" s="7"/>
      <c r="AS40" s="7"/>
      <c r="AT40" s="8"/>
      <c r="AU40" s="7"/>
      <c r="AV40" s="7"/>
      <c r="AW40" s="7"/>
      <c r="AX40" s="7"/>
      <c r="AY40" s="7"/>
      <c r="AZ40" s="10"/>
      <c r="BA40" s="6"/>
      <c r="BB40" s="7"/>
      <c r="BC40" s="6"/>
      <c r="BD40" s="7"/>
      <c r="BE40" s="7"/>
      <c r="BF40" s="7"/>
      <c r="BG40" s="7"/>
      <c r="BH40" s="8"/>
      <c r="BI40" s="7"/>
      <c r="BJ40" s="7"/>
      <c r="BK40" s="7"/>
      <c r="BL40" s="7"/>
      <c r="BM40" s="7"/>
      <c r="BN40" s="10"/>
    </row>
    <row r="41" spans="2:67" x14ac:dyDescent="0.25">
      <c r="C41" s="16"/>
      <c r="D41" s="17"/>
      <c r="E41" s="17"/>
      <c r="F41" s="17">
        <f>SUM(J35,F38)</f>
        <v>0</v>
      </c>
      <c r="G41" s="22" t="s">
        <v>10</v>
      </c>
      <c r="H41" s="14">
        <v>225</v>
      </c>
      <c r="I41" s="22"/>
      <c r="J41" s="17"/>
      <c r="K41" s="17"/>
      <c r="L41" s="17"/>
      <c r="M41" s="17"/>
      <c r="N41" s="19"/>
      <c r="O41" s="16"/>
      <c r="P41" s="17"/>
      <c r="Q41" s="17"/>
      <c r="R41" s="17"/>
      <c r="S41" s="22"/>
      <c r="T41" s="14">
        <v>112</v>
      </c>
      <c r="U41" s="22" t="s">
        <v>12</v>
      </c>
      <c r="V41" s="17">
        <f>SUM(U38:V38)</f>
        <v>0</v>
      </c>
      <c r="W41" s="17"/>
      <c r="X41" s="17"/>
      <c r="Y41" s="17"/>
      <c r="Z41" s="19"/>
      <c r="AA41" s="16"/>
      <c r="AB41" s="17"/>
      <c r="AC41" s="17"/>
      <c r="AD41" s="17">
        <f>SUM(AH35,AD34,AD39)</f>
        <v>0</v>
      </c>
      <c r="AE41" s="22" t="s">
        <v>10</v>
      </c>
      <c r="AF41" s="18"/>
      <c r="AG41" s="22" t="s">
        <v>12</v>
      </c>
      <c r="AH41" s="17">
        <f>SUM(AG38:AI38)</f>
        <v>0</v>
      </c>
      <c r="AI41" s="17"/>
      <c r="AJ41" s="17"/>
      <c r="AK41" s="17"/>
      <c r="AL41" s="19"/>
      <c r="AM41" s="16"/>
      <c r="AN41" s="17"/>
      <c r="AO41" s="16"/>
      <c r="AP41" s="17"/>
      <c r="AQ41" s="17"/>
      <c r="AR41" s="17">
        <f>SUM(AV35,AR34,AR39)</f>
        <v>0</v>
      </c>
      <c r="AS41" s="22" t="s">
        <v>10</v>
      </c>
      <c r="AT41" s="18"/>
      <c r="AU41" s="22" t="s">
        <v>12</v>
      </c>
      <c r="AV41" s="17">
        <f>SUM(AU38:AW38)</f>
        <v>0</v>
      </c>
      <c r="AW41" s="17"/>
      <c r="AX41" s="17"/>
      <c r="AY41" s="17"/>
      <c r="AZ41" s="19"/>
      <c r="BA41" s="16"/>
      <c r="BB41" s="17"/>
      <c r="BC41" s="16"/>
      <c r="BD41" s="17"/>
      <c r="BE41" s="17"/>
      <c r="BF41" s="17">
        <f>SUM(BJ35,BF34,BF39)</f>
        <v>0</v>
      </c>
      <c r="BG41" s="22" t="s">
        <v>10</v>
      </c>
      <c r="BH41" s="18"/>
      <c r="BI41" s="22" t="s">
        <v>12</v>
      </c>
      <c r="BJ41" s="17">
        <f>SUM(BI38:BK38)</f>
        <v>0</v>
      </c>
      <c r="BK41" s="17"/>
      <c r="BL41" s="17"/>
      <c r="BM41" s="17"/>
      <c r="BN41" s="19"/>
    </row>
    <row r="42" spans="2:67" x14ac:dyDescent="0.25">
      <c r="AA42" s="2"/>
      <c r="AB42" s="3"/>
      <c r="AC42" s="3"/>
      <c r="AD42" s="3"/>
      <c r="AE42" s="3">
        <f>AD43-AD41</f>
        <v>0</v>
      </c>
      <c r="AF42" s="4"/>
      <c r="AG42" s="3">
        <f>AH41-AH43</f>
        <v>0</v>
      </c>
      <c r="AH42" s="3"/>
      <c r="AI42" s="3"/>
      <c r="AJ42" s="3"/>
      <c r="AK42" s="3"/>
      <c r="AL42" s="5"/>
      <c r="AM42" s="2"/>
      <c r="AN42" s="3"/>
      <c r="AO42" s="2"/>
      <c r="AP42" s="3"/>
      <c r="AQ42" s="3"/>
      <c r="AR42" s="3"/>
      <c r="AS42" s="3">
        <f>AR43-AR41</f>
        <v>0</v>
      </c>
      <c r="AT42" s="4"/>
      <c r="AU42" s="3">
        <f>AV41-AV43</f>
        <v>0</v>
      </c>
      <c r="AV42" s="3"/>
      <c r="AW42" s="3"/>
      <c r="AX42" s="3"/>
      <c r="AY42" s="3"/>
      <c r="AZ42" s="5"/>
      <c r="BA42" s="2"/>
      <c r="BB42" s="3"/>
      <c r="BC42" s="2"/>
      <c r="BD42" s="3"/>
      <c r="BE42" s="3"/>
      <c r="BF42" s="3"/>
      <c r="BG42" s="3">
        <f>BF43-BF41</f>
        <v>0</v>
      </c>
      <c r="BH42" s="4"/>
      <c r="BI42" s="3">
        <f>BJ41-BJ43</f>
        <v>0</v>
      </c>
      <c r="BJ42" s="3"/>
      <c r="BK42" s="3"/>
      <c r="BL42" s="3"/>
      <c r="BM42" s="3"/>
      <c r="BN42" s="5"/>
    </row>
    <row r="43" spans="2:67" x14ac:dyDescent="0.25">
      <c r="AA43" s="6"/>
      <c r="AB43" s="7"/>
      <c r="AC43" s="7"/>
      <c r="AD43" s="7">
        <f>SUM(AC48:AE48)</f>
        <v>0</v>
      </c>
      <c r="AE43" s="12" t="s">
        <v>10</v>
      </c>
      <c r="AF43" s="8"/>
      <c r="AG43" s="12" t="s">
        <v>12</v>
      </c>
      <c r="AH43" s="7">
        <f>SUM(AD51,AH52,AH47)</f>
        <v>0</v>
      </c>
      <c r="AI43" s="7"/>
      <c r="AJ43" s="7"/>
      <c r="AK43" s="7"/>
      <c r="AL43" s="10"/>
      <c r="AM43" s="6"/>
      <c r="AN43" s="7"/>
      <c r="AO43" s="6"/>
      <c r="AP43" s="7"/>
      <c r="AQ43" s="7"/>
      <c r="AR43" s="7">
        <f>SUM(AQ48:AS48)</f>
        <v>0</v>
      </c>
      <c r="AS43" s="12" t="s">
        <v>10</v>
      </c>
      <c r="AT43" s="8"/>
      <c r="AU43" s="12" t="s">
        <v>12</v>
      </c>
      <c r="AV43" s="7">
        <f>SUM(AR51,AV52,AV47)</f>
        <v>0</v>
      </c>
      <c r="AW43" s="7"/>
      <c r="AX43" s="7"/>
      <c r="AY43" s="7"/>
      <c r="AZ43" s="10"/>
      <c r="BA43" s="6"/>
      <c r="BB43" s="7"/>
      <c r="BC43" s="6"/>
      <c r="BD43" s="7"/>
      <c r="BE43" s="7"/>
      <c r="BF43" s="7">
        <f>SUM(BE48:BG48)</f>
        <v>0</v>
      </c>
      <c r="BG43" s="12" t="s">
        <v>10</v>
      </c>
      <c r="BH43" s="8"/>
      <c r="BI43" s="12" t="s">
        <v>12</v>
      </c>
      <c r="BJ43" s="7">
        <f>SUM(BF51,BJ52,BJ47)</f>
        <v>0</v>
      </c>
      <c r="BK43" s="7"/>
      <c r="BL43" s="7"/>
      <c r="BM43" s="7"/>
      <c r="BN43" s="10"/>
    </row>
    <row r="44" spans="2:67" x14ac:dyDescent="0.25">
      <c r="C44" s="2"/>
      <c r="D44" s="3"/>
      <c r="E44" s="3"/>
      <c r="F44" s="3"/>
      <c r="G44" s="3">
        <f>F45-F43</f>
        <v>0</v>
      </c>
      <c r="H44" s="14">
        <v>226</v>
      </c>
      <c r="I44" s="3"/>
      <c r="J44" s="3"/>
      <c r="K44" s="3"/>
      <c r="L44" s="3"/>
      <c r="M44" s="3"/>
      <c r="N44" s="5"/>
      <c r="O44" s="2"/>
      <c r="P44" s="3"/>
      <c r="Q44" s="3"/>
      <c r="R44" s="3"/>
      <c r="S44" s="3"/>
      <c r="T44" s="14">
        <v>111</v>
      </c>
      <c r="U44" s="3">
        <f>V43-V45</f>
        <v>0</v>
      </c>
      <c r="V44" s="3"/>
      <c r="W44" s="3"/>
      <c r="X44" s="3"/>
      <c r="Y44" s="3"/>
      <c r="Z44" s="5"/>
      <c r="AA44" s="6"/>
      <c r="AB44" s="7"/>
      <c r="AC44" s="7"/>
      <c r="AD44" s="7"/>
      <c r="AE44" s="12"/>
      <c r="AF44" s="8"/>
      <c r="AG44" s="12"/>
      <c r="AH44" s="7"/>
      <c r="AI44" s="7"/>
      <c r="AJ44" s="7"/>
      <c r="AK44" s="7"/>
      <c r="AL44" s="10"/>
      <c r="AM44" s="6"/>
      <c r="AN44" s="7"/>
      <c r="AO44" s="6"/>
      <c r="AP44" s="7"/>
      <c r="AQ44" s="7"/>
      <c r="AR44" s="7"/>
      <c r="AS44" s="12"/>
      <c r="AT44" s="8"/>
      <c r="AU44" s="12"/>
      <c r="AV44" s="7"/>
      <c r="AW44" s="7"/>
      <c r="AX44" s="7"/>
      <c r="AY44" s="7"/>
      <c r="AZ44" s="10"/>
      <c r="BA44" s="6"/>
      <c r="BB44" s="7"/>
      <c r="BC44" s="6"/>
      <c r="BD44" s="7"/>
      <c r="BE44" s="7"/>
      <c r="BF44" s="7"/>
      <c r="BG44" s="12"/>
      <c r="BH44" s="8"/>
      <c r="BI44" s="12"/>
      <c r="BJ44" s="7"/>
      <c r="BK44" s="7"/>
      <c r="BL44" s="7"/>
      <c r="BM44" s="7"/>
      <c r="BN44" s="10"/>
    </row>
    <row r="45" spans="2:67" x14ac:dyDescent="0.25">
      <c r="C45" s="6"/>
      <c r="D45" s="7"/>
      <c r="E45" s="7"/>
      <c r="F45" s="7">
        <f>SUM(F48:G48)</f>
        <v>0</v>
      </c>
      <c r="G45" s="12" t="s">
        <v>10</v>
      </c>
      <c r="H45" s="23" t="s">
        <v>20</v>
      </c>
      <c r="I45" s="12"/>
      <c r="J45" s="7"/>
      <c r="K45" s="7"/>
      <c r="L45" s="7"/>
      <c r="M45" s="7"/>
      <c r="N45" s="10"/>
      <c r="O45" s="6"/>
      <c r="P45" s="7"/>
      <c r="Q45" s="7"/>
      <c r="R45" s="7"/>
      <c r="S45" s="12"/>
      <c r="T45" s="23" t="s">
        <v>19</v>
      </c>
      <c r="U45" s="12" t="s">
        <v>12</v>
      </c>
      <c r="V45" s="7">
        <f>SUM(R51,V48)</f>
        <v>0</v>
      </c>
      <c r="W45" s="7"/>
      <c r="X45" s="7"/>
      <c r="Y45" s="7"/>
      <c r="Z45" s="10"/>
      <c r="AA45" s="6"/>
      <c r="AB45" s="7"/>
      <c r="AC45" s="7"/>
      <c r="AD45" s="7"/>
      <c r="AE45" s="12"/>
      <c r="AF45" s="8"/>
      <c r="AG45" s="12"/>
      <c r="AH45" s="7"/>
      <c r="AI45" s="7"/>
      <c r="AJ45" s="7"/>
      <c r="AK45" s="7"/>
      <c r="AL45" s="10"/>
      <c r="AM45" s="6"/>
      <c r="AN45" s="7"/>
      <c r="AO45" s="6"/>
      <c r="AP45" s="7"/>
      <c r="AQ45" s="7"/>
      <c r="AR45" s="7"/>
      <c r="AS45" s="12"/>
      <c r="AT45" s="8"/>
      <c r="AU45" s="12"/>
      <c r="AV45" s="7"/>
      <c r="AW45" s="7"/>
      <c r="AX45" s="7"/>
      <c r="AY45" s="7"/>
      <c r="AZ45" s="10"/>
      <c r="BA45" s="6"/>
      <c r="BB45" s="7"/>
      <c r="BC45" s="6"/>
      <c r="BD45" s="7"/>
      <c r="BE45" s="7"/>
      <c r="BF45" s="7"/>
      <c r="BG45" s="12"/>
      <c r="BH45" s="8"/>
      <c r="BI45" s="12"/>
      <c r="BJ45" s="7"/>
      <c r="BK45" s="7"/>
      <c r="BL45" s="7"/>
      <c r="BM45" s="7"/>
      <c r="BN45" s="10"/>
    </row>
    <row r="46" spans="2:67" x14ac:dyDescent="0.25">
      <c r="C46" s="6"/>
      <c r="D46" s="7"/>
      <c r="E46" s="7"/>
      <c r="F46" s="7"/>
      <c r="G46" s="7"/>
      <c r="H46" s="23" t="s">
        <v>20</v>
      </c>
      <c r="I46" s="7"/>
      <c r="J46" s="7"/>
      <c r="K46" s="7"/>
      <c r="L46" s="7"/>
      <c r="M46" s="7"/>
      <c r="N46" s="10"/>
      <c r="O46" s="6"/>
      <c r="P46" s="7"/>
      <c r="Q46" s="7"/>
      <c r="R46" s="7"/>
      <c r="S46" s="7"/>
      <c r="T46" s="23" t="s">
        <v>19</v>
      </c>
      <c r="U46" s="7"/>
      <c r="V46" s="7"/>
      <c r="W46" s="7"/>
      <c r="X46" s="7"/>
      <c r="Y46" s="7"/>
      <c r="Z46" s="10"/>
      <c r="AA46" s="6"/>
      <c r="AB46" s="7"/>
      <c r="AC46" s="7"/>
      <c r="AD46" s="7"/>
      <c r="AE46" s="7"/>
      <c r="AF46" s="8"/>
      <c r="AG46" s="7"/>
      <c r="AH46" s="7"/>
      <c r="AI46" s="7"/>
      <c r="AJ46" s="7"/>
      <c r="AK46" s="7"/>
      <c r="AL46" s="10"/>
      <c r="AM46" s="6"/>
      <c r="AN46" s="7"/>
      <c r="AO46" s="6"/>
      <c r="AP46" s="7"/>
      <c r="AQ46" s="7"/>
      <c r="AR46" s="7"/>
      <c r="AS46" s="7"/>
      <c r="AT46" s="8"/>
      <c r="AU46" s="7"/>
      <c r="AV46" s="7"/>
      <c r="AW46" s="7"/>
      <c r="AX46" s="7"/>
      <c r="AY46" s="7"/>
      <c r="AZ46" s="10"/>
      <c r="BA46" s="6"/>
      <c r="BB46" s="7"/>
      <c r="BC46" s="6"/>
      <c r="BD46" s="7"/>
      <c r="BE46" s="7"/>
      <c r="BF46" s="7"/>
      <c r="BG46" s="7"/>
      <c r="BH46" s="8"/>
      <c r="BI46" s="7"/>
      <c r="BJ46" s="7"/>
      <c r="BK46" s="7"/>
      <c r="BL46" s="7"/>
      <c r="BM46" s="7"/>
      <c r="BN46" s="10"/>
    </row>
    <row r="47" spans="2:67" x14ac:dyDescent="0.25">
      <c r="C47" s="6"/>
      <c r="D47" s="7"/>
      <c r="E47" s="7"/>
      <c r="F47" s="7"/>
      <c r="G47" s="7"/>
      <c r="H47" s="23" t="s">
        <v>20</v>
      </c>
      <c r="I47" s="9"/>
      <c r="J47" s="7"/>
      <c r="K47" s="7"/>
      <c r="L47" s="7"/>
      <c r="M47" s="7"/>
      <c r="N47" s="10"/>
      <c r="O47" s="6"/>
      <c r="P47" s="7"/>
      <c r="Q47" s="7"/>
      <c r="R47" s="7"/>
      <c r="S47" s="7"/>
      <c r="T47" s="23" t="s">
        <v>19</v>
      </c>
      <c r="W47" s="7"/>
      <c r="X47" s="7"/>
      <c r="Y47" s="7"/>
      <c r="Z47" s="10"/>
      <c r="AA47" s="6"/>
      <c r="AB47" s="7"/>
      <c r="AC47" s="7"/>
      <c r="AD47" s="7"/>
      <c r="AE47" s="7"/>
      <c r="AF47" s="8"/>
      <c r="AG47" s="9" t="s">
        <v>14</v>
      </c>
      <c r="AH47" s="26" t="str">
        <f>AT50&amp;"_"&amp;AF50&amp;"_"&amp;AF36</f>
        <v>505_504_509</v>
      </c>
      <c r="AI47" s="7"/>
      <c r="AJ47" s="7"/>
      <c r="AK47" s="7"/>
      <c r="AL47" s="10"/>
      <c r="AM47" s="6"/>
      <c r="AN47" s="7"/>
      <c r="AO47" s="6"/>
      <c r="AP47" s="7"/>
      <c r="AQ47" s="7"/>
      <c r="AR47" s="7"/>
      <c r="AS47" s="7"/>
      <c r="AT47" s="8"/>
      <c r="AU47" s="9" t="s">
        <v>14</v>
      </c>
      <c r="AV47" s="26" t="str">
        <f>BH50&amp;"_"&amp;AT50&amp;"_"&amp;AT36</f>
        <v>506_505_510</v>
      </c>
      <c r="AW47" s="7"/>
      <c r="AX47" s="7"/>
      <c r="AY47" s="7"/>
      <c r="AZ47" s="10"/>
      <c r="BA47" s="6"/>
      <c r="BB47" s="7"/>
      <c r="BC47" s="6"/>
      <c r="BD47" s="7"/>
      <c r="BE47" s="7"/>
      <c r="BF47" s="7"/>
      <c r="BG47" s="7"/>
      <c r="BH47" s="8"/>
      <c r="BI47" s="9" t="s">
        <v>14</v>
      </c>
      <c r="BJ47" s="26" t="str">
        <f>BO50&amp;"_"&amp;BH50&amp;"_"&amp;BH36</f>
        <v>507_506_511</v>
      </c>
      <c r="BK47" s="7"/>
      <c r="BL47" s="7"/>
      <c r="BM47" s="7"/>
      <c r="BN47" s="10"/>
    </row>
    <row r="48" spans="2:67" x14ac:dyDescent="0.25">
      <c r="C48" s="6">
        <f>SUM(I52,J48,F48)</f>
        <v>0</v>
      </c>
      <c r="D48" s="7"/>
      <c r="F48" s="26" t="str">
        <f>H44&amp;"_"&amp;H50&amp;"_"&amp;B50</f>
        <v>226_227_503</v>
      </c>
      <c r="G48" s="26" t="str">
        <f>H44&amp;"_"&amp;H50&amp;"_"&amp;T50</f>
        <v>226_227_110</v>
      </c>
      <c r="H48" s="23" t="s">
        <v>20</v>
      </c>
      <c r="I48" s="9" t="s">
        <v>15</v>
      </c>
      <c r="J48" s="26" t="str">
        <f>T50&amp;"_"&amp;H50&amp;"_"&amp;B50</f>
        <v>110_227_503</v>
      </c>
      <c r="K48" s="7"/>
      <c r="L48" s="7"/>
      <c r="M48" s="7">
        <f>SUM(J47:J49)</f>
        <v>0</v>
      </c>
      <c r="N48" s="10"/>
      <c r="O48" s="6">
        <f>SUM(U52,V49,Q48)</f>
        <v>0</v>
      </c>
      <c r="P48" s="7"/>
      <c r="Q48" s="11"/>
      <c r="R48" s="11"/>
      <c r="S48" s="11"/>
      <c r="T48" s="23" t="s">
        <v>19</v>
      </c>
      <c r="U48" s="9" t="s">
        <v>14</v>
      </c>
      <c r="V48" s="26" t="str">
        <f>AF50&amp;"_"&amp;T50&amp;"_"&amp;T44</f>
        <v>504_110_111</v>
      </c>
      <c r="W48" s="7"/>
      <c r="X48" s="7"/>
      <c r="Y48" s="7">
        <f>SUM(V48:V49)</f>
        <v>0</v>
      </c>
      <c r="Z48" s="10"/>
      <c r="AA48" s="6">
        <f>SUM(AG52,AH48,AC48)</f>
        <v>0</v>
      </c>
      <c r="AB48" s="7"/>
      <c r="AC48" s="25" t="str">
        <f>AF36&amp;"_"&amp;AF50&amp;"_"&amp;T50</f>
        <v>509_504_110</v>
      </c>
      <c r="AD48" s="26" t="str">
        <f>AF36&amp;"_"&amp;AF50&amp;"_"&amp;AF56</f>
        <v>509_504_500</v>
      </c>
      <c r="AE48" s="26" t="str">
        <f>AF36&amp;"_"&amp;AF50&amp;"_"&amp;AT50</f>
        <v>509_504_505</v>
      </c>
      <c r="AF48" s="8"/>
      <c r="AG48" s="9" t="s">
        <v>15</v>
      </c>
      <c r="AH48" s="25" t="str">
        <f>AT50&amp;"_"&amp;AF50&amp;"_"&amp;T50</f>
        <v>505_504_110</v>
      </c>
      <c r="AI48" s="7"/>
      <c r="AJ48" s="7"/>
      <c r="AK48" s="7">
        <f>SUM(AH47:AH49)</f>
        <v>0</v>
      </c>
      <c r="AL48" s="10"/>
      <c r="AM48" s="6">
        <f>SUM(AU52,AV48,AQ48)</f>
        <v>0</v>
      </c>
      <c r="AN48" s="7"/>
      <c r="AO48" s="6"/>
      <c r="AP48" s="7"/>
      <c r="AQ48" s="25" t="str">
        <f>AT36&amp;"_"&amp;AT50&amp;"_"&amp;AF50</f>
        <v>510_505_504</v>
      </c>
      <c r="AR48" s="26" t="str">
        <f>AT36&amp;"_"&amp;AT50&amp;"_"&amp;AT56</f>
        <v>510_505_501</v>
      </c>
      <c r="AS48" s="26" t="str">
        <f>AT36&amp;"_"&amp;AT50&amp;"_"&amp;BH50</f>
        <v>510_505_506</v>
      </c>
      <c r="AT48" s="8"/>
      <c r="AU48" s="9" t="s">
        <v>15</v>
      </c>
      <c r="AV48" s="25" t="str">
        <f>BH50&amp;"_"&amp;AT50&amp;"_"&amp;AF50</f>
        <v>506_505_504</v>
      </c>
      <c r="AW48" s="7"/>
      <c r="AX48" s="7"/>
      <c r="AY48" s="7">
        <f>SUM(AV47:AV49)</f>
        <v>0</v>
      </c>
      <c r="AZ48" s="10"/>
      <c r="BA48" s="6">
        <f>SUM(BI52,BJ48,BE48)</f>
        <v>0</v>
      </c>
      <c r="BB48" s="7"/>
      <c r="BC48" s="6"/>
      <c r="BD48" s="7"/>
      <c r="BE48" s="25" t="str">
        <f>BH36&amp;"_"&amp;BH50&amp;"_"&amp;AT50</f>
        <v>511_506_505</v>
      </c>
      <c r="BF48" s="26" t="str">
        <f>BH36&amp;"_"&amp;BH50&amp;"_"&amp;BH56</f>
        <v>511_506_502</v>
      </c>
      <c r="BG48" s="26" t="str">
        <f>BH36&amp;"_"&amp;BH50&amp;"_"&amp;BO50</f>
        <v>511_506_507</v>
      </c>
      <c r="BH48" s="8"/>
      <c r="BI48" s="9" t="s">
        <v>15</v>
      </c>
      <c r="BJ48" s="25" t="str">
        <f>BO50&amp;"_"&amp;BH50&amp;"_"&amp;AT50</f>
        <v>507_506_505</v>
      </c>
      <c r="BK48" s="7"/>
      <c r="BL48" s="7"/>
      <c r="BM48" s="7">
        <f>SUM(BJ47:BJ49)</f>
        <v>0</v>
      </c>
      <c r="BN48" s="10"/>
    </row>
    <row r="49" spans="2:67" x14ac:dyDescent="0.25">
      <c r="C49" s="21" t="s">
        <v>15</v>
      </c>
      <c r="D49" s="7"/>
      <c r="F49" s="12">
        <v>8</v>
      </c>
      <c r="G49" s="12">
        <v>9</v>
      </c>
      <c r="H49" s="23" t="s">
        <v>20</v>
      </c>
      <c r="I49" s="9" t="s">
        <v>16</v>
      </c>
      <c r="J49" s="26" t="str">
        <f>T50&amp;"_"&amp;H50&amp;"_"&amp;H55</f>
        <v>110_227_228</v>
      </c>
      <c r="K49" s="7"/>
      <c r="L49" s="7"/>
      <c r="M49" s="20" t="s">
        <v>15</v>
      </c>
      <c r="N49" s="10">
        <f>M48-O48</f>
        <v>0</v>
      </c>
      <c r="O49" s="21" t="s">
        <v>15</v>
      </c>
      <c r="P49" s="7"/>
      <c r="Q49" s="12"/>
      <c r="R49" s="12"/>
      <c r="S49" s="12"/>
      <c r="T49" s="23" t="s">
        <v>19</v>
      </c>
      <c r="U49" s="9" t="s">
        <v>15</v>
      </c>
      <c r="V49" s="25" t="str">
        <f>AF50&amp;"_"&amp;T50&amp;"_"&amp;H50</f>
        <v>504_110_227</v>
      </c>
      <c r="W49" s="7"/>
      <c r="X49" s="7"/>
      <c r="Y49" s="20" t="s">
        <v>15</v>
      </c>
      <c r="Z49" s="10">
        <f>Y48-AA48</f>
        <v>0</v>
      </c>
      <c r="AA49" s="21" t="s">
        <v>15</v>
      </c>
      <c r="AB49" s="7"/>
      <c r="AC49" s="12">
        <v>8</v>
      </c>
      <c r="AD49" s="12" t="s">
        <v>10</v>
      </c>
      <c r="AE49" s="12">
        <v>9</v>
      </c>
      <c r="AF49" s="8"/>
      <c r="AG49" s="9" t="s">
        <v>16</v>
      </c>
      <c r="AH49" s="25" t="str">
        <f>AT50&amp;"_"&amp;AF50&amp;"_"&amp;AF56</f>
        <v>505_504_500</v>
      </c>
      <c r="AI49" s="7"/>
      <c r="AJ49" s="7"/>
      <c r="AK49" s="20" t="s">
        <v>15</v>
      </c>
      <c r="AL49" s="10">
        <f>AK48-AM48</f>
        <v>0</v>
      </c>
      <c r="AM49" s="21" t="s">
        <v>15</v>
      </c>
      <c r="AN49" s="20"/>
      <c r="AO49" s="21"/>
      <c r="AP49" s="7"/>
      <c r="AQ49" s="12">
        <v>8</v>
      </c>
      <c r="AR49" s="12" t="s">
        <v>10</v>
      </c>
      <c r="AS49" s="12">
        <v>9</v>
      </c>
      <c r="AT49" s="8"/>
      <c r="AU49" s="9" t="s">
        <v>16</v>
      </c>
      <c r="AV49" s="25" t="str">
        <f>BH50&amp;"_"&amp;AT50&amp;"_"&amp;AT56</f>
        <v>506_505_501</v>
      </c>
      <c r="AW49" s="7"/>
      <c r="AX49" s="7"/>
      <c r="AY49" s="20" t="s">
        <v>15</v>
      </c>
      <c r="AZ49" s="10">
        <f>AY48-BA48</f>
        <v>0</v>
      </c>
      <c r="BA49" s="21" t="s">
        <v>15</v>
      </c>
      <c r="BB49" s="20"/>
      <c r="BC49" s="21"/>
      <c r="BD49" s="7"/>
      <c r="BE49" s="12">
        <v>8</v>
      </c>
      <c r="BF49" s="12" t="s">
        <v>10</v>
      </c>
      <c r="BG49" s="12">
        <v>9</v>
      </c>
      <c r="BH49" s="8"/>
      <c r="BI49" s="9" t="s">
        <v>16</v>
      </c>
      <c r="BJ49" s="25" t="str">
        <f>BO50&amp;"_"&amp;BH50&amp;"_"&amp;BH56</f>
        <v>507_506_502</v>
      </c>
      <c r="BK49" s="7"/>
      <c r="BL49" s="7"/>
      <c r="BM49" s="20" t="s">
        <v>15</v>
      </c>
      <c r="BN49" s="10">
        <f>BM48-BO48</f>
        <v>0</v>
      </c>
    </row>
    <row r="50" spans="2:67" x14ac:dyDescent="0.25">
      <c r="B50" s="14">
        <v>503</v>
      </c>
      <c r="C50" s="13"/>
      <c r="D50" s="8"/>
      <c r="E50" s="8"/>
      <c r="F50" s="8"/>
      <c r="G50" s="8"/>
      <c r="H50" s="14">
        <v>227</v>
      </c>
      <c r="I50" s="8"/>
      <c r="J50" s="8"/>
      <c r="K50" s="8"/>
      <c r="L50" s="8"/>
      <c r="M50" s="8"/>
      <c r="N50" s="15"/>
      <c r="O50" s="13"/>
      <c r="P50" s="8"/>
      <c r="Q50" s="8"/>
      <c r="R50" s="8"/>
      <c r="S50" s="8"/>
      <c r="T50" s="14">
        <v>110</v>
      </c>
      <c r="U50" s="8"/>
      <c r="V50" s="8"/>
      <c r="W50" s="8"/>
      <c r="X50" s="8"/>
      <c r="Y50" s="8"/>
      <c r="Z50" s="15"/>
      <c r="AA50" s="13"/>
      <c r="AB50" s="8"/>
      <c r="AC50" s="8"/>
      <c r="AD50" s="8"/>
      <c r="AE50" s="8"/>
      <c r="AF50" s="14">
        <v>504</v>
      </c>
      <c r="AG50" s="8"/>
      <c r="AH50" s="8"/>
      <c r="AI50" s="8"/>
      <c r="AJ50" s="8"/>
      <c r="AK50" s="8"/>
      <c r="AL50" s="15"/>
      <c r="AM50" s="13"/>
      <c r="AN50" s="8"/>
      <c r="AO50" s="13"/>
      <c r="AP50" s="8"/>
      <c r="AQ50" s="8"/>
      <c r="AR50" s="8"/>
      <c r="AS50" s="8"/>
      <c r="AT50" s="14">
        <v>505</v>
      </c>
      <c r="AU50" s="8"/>
      <c r="AV50" s="8"/>
      <c r="AW50" s="8"/>
      <c r="AX50" s="8"/>
      <c r="AY50" s="8"/>
      <c r="AZ50" s="15"/>
      <c r="BA50" s="13"/>
      <c r="BB50" s="8"/>
      <c r="BC50" s="13"/>
      <c r="BD50" s="8"/>
      <c r="BE50" s="8"/>
      <c r="BF50" s="8"/>
      <c r="BG50" s="8"/>
      <c r="BH50" s="14">
        <v>506</v>
      </c>
      <c r="BI50" s="8"/>
      <c r="BJ50" s="8"/>
      <c r="BK50" s="8"/>
      <c r="BL50" s="8"/>
      <c r="BM50" s="8"/>
      <c r="BN50" s="15"/>
      <c r="BO50" s="14">
        <v>507</v>
      </c>
    </row>
    <row r="51" spans="2:67" x14ac:dyDescent="0.25">
      <c r="C51" s="21" t="s">
        <v>8</v>
      </c>
      <c r="D51" s="7"/>
      <c r="E51" s="7"/>
      <c r="F51" s="25" t="str">
        <f>B50&amp;"_"&amp;H50&amp;"_"&amp;T50</f>
        <v>503_227_110</v>
      </c>
      <c r="G51" s="9" t="s">
        <v>8</v>
      </c>
      <c r="H51" s="23" t="s">
        <v>20</v>
      </c>
      <c r="I51" s="12"/>
      <c r="J51" s="12"/>
      <c r="K51" s="12"/>
      <c r="L51" s="7"/>
      <c r="M51" s="20" t="s">
        <v>8</v>
      </c>
      <c r="N51" s="10">
        <f>O52-M52</f>
        <v>0</v>
      </c>
      <c r="O51" s="21" t="s">
        <v>8</v>
      </c>
      <c r="P51" s="7"/>
      <c r="Q51" s="7"/>
      <c r="R51" s="25" t="str">
        <f>H50&amp;"_"&amp;T50&amp;"_"&amp;T44</f>
        <v>227_110_111</v>
      </c>
      <c r="S51" s="9" t="s">
        <v>7</v>
      </c>
      <c r="T51" s="23" t="s">
        <v>19</v>
      </c>
      <c r="U51" s="12" t="s">
        <v>11</v>
      </c>
      <c r="V51" s="12" t="s">
        <v>13</v>
      </c>
      <c r="X51" s="7"/>
      <c r="Y51" s="20" t="s">
        <v>8</v>
      </c>
      <c r="Z51" s="10">
        <f>AA52-Y52</f>
        <v>0</v>
      </c>
      <c r="AA51" s="21" t="s">
        <v>8</v>
      </c>
      <c r="AB51" s="7"/>
      <c r="AC51" s="7"/>
      <c r="AD51" s="25" t="str">
        <f>T50&amp;"_"&amp;AF50&amp;"_"&amp;AF36</f>
        <v>110_504_509</v>
      </c>
      <c r="AE51" s="9" t="s">
        <v>7</v>
      </c>
      <c r="AF51" s="8"/>
      <c r="AG51" s="12" t="s">
        <v>11</v>
      </c>
      <c r="AH51" s="12" t="s">
        <v>12</v>
      </c>
      <c r="AI51" s="12" t="s">
        <v>13</v>
      </c>
      <c r="AJ51" s="7"/>
      <c r="AK51" s="20" t="s">
        <v>8</v>
      </c>
      <c r="AL51" s="10">
        <f>AM52-AK52</f>
        <v>0</v>
      </c>
      <c r="AM51" s="21" t="s">
        <v>8</v>
      </c>
      <c r="AN51" s="20"/>
      <c r="AO51" s="21"/>
      <c r="AP51" s="7"/>
      <c r="AQ51" s="7"/>
      <c r="AR51" s="25" t="str">
        <f>AF50&amp;"_"&amp;AT50&amp;"_"&amp;AT36</f>
        <v>504_505_510</v>
      </c>
      <c r="AS51" s="9" t="s">
        <v>7</v>
      </c>
      <c r="AT51" s="8"/>
      <c r="AU51" s="12" t="s">
        <v>11</v>
      </c>
      <c r="AV51" s="12" t="s">
        <v>12</v>
      </c>
      <c r="AW51" s="12" t="s">
        <v>13</v>
      </c>
      <c r="AX51" s="7"/>
      <c r="AY51" s="20" t="s">
        <v>8</v>
      </c>
      <c r="AZ51" s="10">
        <f>BA52-AY52</f>
        <v>0</v>
      </c>
      <c r="BA51" s="21" t="s">
        <v>8</v>
      </c>
      <c r="BB51" s="20"/>
      <c r="BC51" s="21"/>
      <c r="BD51" s="7"/>
      <c r="BE51" s="7"/>
      <c r="BF51" s="25" t="str">
        <f>AT50&amp;"_"&amp;BH50&amp;"_"&amp;BH36</f>
        <v>505_506_511</v>
      </c>
      <c r="BG51" s="9" t="s">
        <v>7</v>
      </c>
      <c r="BH51" s="8"/>
      <c r="BI51" s="12" t="s">
        <v>11</v>
      </c>
      <c r="BJ51" s="12" t="s">
        <v>12</v>
      </c>
      <c r="BK51" s="12" t="s">
        <v>13</v>
      </c>
      <c r="BL51" s="7"/>
      <c r="BM51" s="20" t="s">
        <v>8</v>
      </c>
      <c r="BN51" s="10">
        <f>BO52-BM52</f>
        <v>0</v>
      </c>
    </row>
    <row r="52" spans="2:67" x14ac:dyDescent="0.25">
      <c r="C52" s="6">
        <f>SUM(F51:F52)</f>
        <v>0</v>
      </c>
      <c r="D52" s="7"/>
      <c r="E52" s="7"/>
      <c r="F52" s="25" t="str">
        <f>B50&amp;"_"&amp;H50&amp;"_"&amp;H55</f>
        <v>503_227_228</v>
      </c>
      <c r="G52" s="9" t="s">
        <v>9</v>
      </c>
      <c r="H52" s="23" t="s">
        <v>20</v>
      </c>
      <c r="I52" s="11"/>
      <c r="J52" s="11"/>
      <c r="K52" s="11"/>
      <c r="L52" s="7"/>
      <c r="M52" s="7">
        <f>SUM(G48,F51,K52)</f>
        <v>0</v>
      </c>
      <c r="N52" s="10"/>
      <c r="O52" s="6">
        <f>SUM(R51:R53)</f>
        <v>0</v>
      </c>
      <c r="P52" s="7"/>
      <c r="Q52" s="7"/>
      <c r="R52" s="25" t="str">
        <f>H50&amp;"_"&amp;T50&amp;"_"&amp;AF50</f>
        <v>227_110_504</v>
      </c>
      <c r="S52" s="9" t="s">
        <v>8</v>
      </c>
      <c r="T52" s="23" t="s">
        <v>19</v>
      </c>
      <c r="U52" s="25" t="str">
        <f>T55&amp;"_"&amp;T50&amp;"_"&amp;H50</f>
        <v>109_110_227</v>
      </c>
      <c r="V52" s="25" t="str">
        <f>T55&amp;"_"&amp;T50&amp;"_"&amp;AF50</f>
        <v>109_110_504</v>
      </c>
      <c r="X52" s="7"/>
      <c r="Y52" s="7">
        <f>SUM(S48,R52,V52)</f>
        <v>0</v>
      </c>
      <c r="Z52" s="10"/>
      <c r="AA52" s="6">
        <f>SUM(AD51:AD53)</f>
        <v>0</v>
      </c>
      <c r="AB52" s="7"/>
      <c r="AC52" s="7"/>
      <c r="AD52" s="25" t="str">
        <f>T50&amp;"_"&amp;AF50&amp;"_"&amp;AT50</f>
        <v>110_504_505</v>
      </c>
      <c r="AE52" s="9" t="s">
        <v>8</v>
      </c>
      <c r="AF52" s="8"/>
      <c r="AG52" s="25" t="str">
        <f>AF56&amp;"_"&amp;AF50&amp;"_"&amp;T50</f>
        <v>500_504_110</v>
      </c>
      <c r="AH52" s="26" t="str">
        <f>AF56&amp;"_"&amp;AF50&amp;"_"&amp;AF36</f>
        <v>500_504_509</v>
      </c>
      <c r="AI52" s="26" t="str">
        <f>AF56&amp;"_"&amp;AF50&amp;"_"&amp;AT50</f>
        <v>500_504_505</v>
      </c>
      <c r="AJ52" s="7"/>
      <c r="AK52" s="7">
        <f>SUM(AE48,AD52,AI52)</f>
        <v>0</v>
      </c>
      <c r="AL52" s="10"/>
      <c r="AM52" s="6">
        <f>SUM(AR51:AR53)</f>
        <v>0</v>
      </c>
      <c r="AN52" s="7"/>
      <c r="AO52" s="6"/>
      <c r="AP52" s="7"/>
      <c r="AQ52" s="7"/>
      <c r="AR52" s="25" t="str">
        <f>AF50&amp;"_"&amp;AT50&amp;"_"&amp;BH50</f>
        <v>504_505_506</v>
      </c>
      <c r="AS52" s="9" t="s">
        <v>8</v>
      </c>
      <c r="AT52" s="8"/>
      <c r="AU52" s="25" t="str">
        <f>AT56&amp;"_"&amp;AT50&amp;"_"&amp;AF50</f>
        <v>501_505_504</v>
      </c>
      <c r="AV52" s="26" t="str">
        <f>AT56&amp;"_"&amp;AT50&amp;"_"&amp;AT36</f>
        <v>501_505_510</v>
      </c>
      <c r="AW52" s="26" t="str">
        <f>AT56&amp;"_"&amp;AT50&amp;"_"&amp;BH50</f>
        <v>501_505_506</v>
      </c>
      <c r="AX52" s="7"/>
      <c r="AY52" s="7">
        <f>SUM(AS48,AR52,AW52)</f>
        <v>0</v>
      </c>
      <c r="AZ52" s="10"/>
      <c r="BA52" s="6">
        <f>SUM(BF51:BF53)</f>
        <v>0</v>
      </c>
      <c r="BB52" s="7"/>
      <c r="BC52" s="6"/>
      <c r="BD52" s="7"/>
      <c r="BE52" s="7"/>
      <c r="BF52" s="25" t="str">
        <f>AT50&amp;"_"&amp;BH50&amp;"_"&amp;BO50</f>
        <v>505_506_507</v>
      </c>
      <c r="BG52" s="9" t="s">
        <v>8</v>
      </c>
      <c r="BH52" s="8"/>
      <c r="BI52" s="25" t="str">
        <f>BH56&amp;"_"&amp;BH50&amp;"_"&amp;AT50</f>
        <v>502_506_505</v>
      </c>
      <c r="BJ52" s="26" t="str">
        <f>BH56&amp;"_"&amp;BH50&amp;"_"&amp;BH36</f>
        <v>502_506_511</v>
      </c>
      <c r="BK52" s="26" t="str">
        <f>BH56&amp;"_"&amp;BH50&amp;"_"&amp;BO50</f>
        <v>502_506_507</v>
      </c>
      <c r="BL52" s="7"/>
      <c r="BM52" s="7">
        <f>SUM(BG48,BF52,BK52)</f>
        <v>0</v>
      </c>
      <c r="BN52" s="10"/>
    </row>
    <row r="53" spans="2:67" x14ac:dyDescent="0.25">
      <c r="C53" s="6"/>
      <c r="D53" s="7"/>
      <c r="E53" s="7"/>
      <c r="H53" s="23" t="s">
        <v>20</v>
      </c>
      <c r="I53" s="7"/>
      <c r="J53" s="7"/>
      <c r="K53" s="7"/>
      <c r="L53" s="7"/>
      <c r="M53" s="7"/>
      <c r="N53" s="10"/>
      <c r="O53" s="6"/>
      <c r="P53" s="7"/>
      <c r="Q53" s="7"/>
      <c r="R53" s="7"/>
      <c r="S53" s="9"/>
      <c r="T53" s="23" t="s">
        <v>19</v>
      </c>
      <c r="U53" s="7"/>
      <c r="V53" s="7"/>
      <c r="W53" s="7"/>
      <c r="X53" s="7"/>
      <c r="Y53" s="7"/>
      <c r="Z53" s="10"/>
      <c r="AA53" s="6"/>
      <c r="AB53" s="7"/>
      <c r="AC53" s="7"/>
      <c r="AD53" s="25" t="str">
        <f>T50&amp;"_"&amp;AF50&amp;"_"&amp;AF56</f>
        <v>110_504_500</v>
      </c>
      <c r="AE53" s="9" t="s">
        <v>9</v>
      </c>
      <c r="AF53" s="8"/>
      <c r="AG53" s="7"/>
      <c r="AH53" s="7"/>
      <c r="AI53" s="7"/>
      <c r="AJ53" s="7"/>
      <c r="AK53" s="7"/>
      <c r="AL53" s="10"/>
      <c r="AM53" s="6"/>
      <c r="AN53" s="7"/>
      <c r="AO53" s="6"/>
      <c r="AP53" s="7"/>
      <c r="AQ53" s="7"/>
      <c r="AR53" s="25" t="str">
        <f>AF50&amp;"_"&amp;AT50&amp;"_"&amp;AT56</f>
        <v>504_505_501</v>
      </c>
      <c r="AS53" s="9" t="s">
        <v>9</v>
      </c>
      <c r="AT53" s="8"/>
      <c r="AU53" s="7"/>
      <c r="AV53" s="7"/>
      <c r="AW53" s="7"/>
      <c r="AX53" s="7"/>
      <c r="AY53" s="7"/>
      <c r="AZ53" s="10"/>
      <c r="BA53" s="6"/>
      <c r="BB53" s="7"/>
      <c r="BC53" s="6"/>
      <c r="BD53" s="7"/>
      <c r="BE53" s="7"/>
      <c r="BF53" s="25" t="str">
        <f>AT50&amp;"_"&amp;BH50&amp;"_"&amp;BH56</f>
        <v>505_506_502</v>
      </c>
      <c r="BG53" s="9" t="s">
        <v>9</v>
      </c>
      <c r="BH53" s="8"/>
      <c r="BI53" s="7"/>
      <c r="BJ53" s="7"/>
      <c r="BK53" s="7"/>
      <c r="BL53" s="7"/>
      <c r="BM53" s="7"/>
      <c r="BN53" s="10"/>
    </row>
    <row r="54" spans="2:67" x14ac:dyDescent="0.25">
      <c r="C54" s="6"/>
      <c r="D54" s="7"/>
      <c r="E54" s="7"/>
      <c r="F54" s="7"/>
      <c r="G54" s="7"/>
      <c r="H54" s="23" t="s">
        <v>20</v>
      </c>
      <c r="I54" s="7"/>
      <c r="J54" s="7"/>
      <c r="K54" s="7"/>
      <c r="L54" s="7"/>
      <c r="M54" s="7"/>
      <c r="N54" s="10"/>
      <c r="O54" s="6"/>
      <c r="P54" s="7"/>
      <c r="Q54" s="7"/>
      <c r="R54" s="7"/>
      <c r="S54" s="7"/>
      <c r="T54" s="23" t="s">
        <v>19</v>
      </c>
      <c r="U54" s="7"/>
      <c r="V54" s="7"/>
      <c r="W54" s="7"/>
      <c r="X54" s="7"/>
      <c r="Y54" s="7"/>
      <c r="Z54" s="10"/>
      <c r="AA54" s="6"/>
      <c r="AB54" s="7"/>
      <c r="AC54" s="7"/>
      <c r="AD54" s="7"/>
      <c r="AE54" s="7"/>
      <c r="AF54" s="8"/>
      <c r="AG54" s="7"/>
      <c r="AH54" s="7"/>
      <c r="AI54" s="7"/>
      <c r="AJ54" s="7"/>
      <c r="AK54" s="7"/>
      <c r="AL54" s="10"/>
      <c r="AM54" s="6"/>
      <c r="AN54" s="7"/>
      <c r="AO54" s="6"/>
      <c r="AP54" s="7"/>
      <c r="AQ54" s="7"/>
      <c r="AR54" s="7"/>
      <c r="AS54" s="7"/>
      <c r="AT54" s="8"/>
      <c r="AU54" s="7"/>
      <c r="AV54" s="7"/>
      <c r="AW54" s="7"/>
      <c r="AX54" s="7"/>
      <c r="AY54" s="7"/>
      <c r="AZ54" s="10"/>
      <c r="BA54" s="6"/>
      <c r="BB54" s="7"/>
      <c r="BC54" s="6"/>
      <c r="BD54" s="7"/>
      <c r="BE54" s="7"/>
      <c r="BF54" s="7"/>
      <c r="BG54" s="7"/>
      <c r="BH54" s="8"/>
      <c r="BI54" s="7"/>
      <c r="BJ54" s="7"/>
      <c r="BK54" s="7"/>
      <c r="BL54" s="7"/>
      <c r="BM54" s="7"/>
      <c r="BN54" s="10"/>
    </row>
    <row r="55" spans="2:67" x14ac:dyDescent="0.25">
      <c r="C55" s="16"/>
      <c r="D55" s="17"/>
      <c r="E55" s="17"/>
      <c r="F55" s="17">
        <f>SUM(J49,F52)</f>
        <v>0</v>
      </c>
      <c r="G55" s="22" t="s">
        <v>10</v>
      </c>
      <c r="H55" s="14">
        <v>228</v>
      </c>
      <c r="I55" s="22"/>
      <c r="J55" s="17"/>
      <c r="K55" s="17"/>
      <c r="L55" s="17"/>
      <c r="M55" s="17"/>
      <c r="N55" s="19"/>
      <c r="O55" s="16"/>
      <c r="P55" s="17"/>
      <c r="Q55" s="17"/>
      <c r="R55" s="17"/>
      <c r="S55" s="22"/>
      <c r="T55" s="14">
        <v>109</v>
      </c>
      <c r="U55" s="22" t="s">
        <v>12</v>
      </c>
      <c r="V55" s="17">
        <f>SUM(U52:V52)</f>
        <v>0</v>
      </c>
      <c r="W55" s="17"/>
      <c r="X55" s="17"/>
      <c r="Y55" s="17"/>
      <c r="Z55" s="19"/>
      <c r="AA55" s="16"/>
      <c r="AB55" s="17"/>
      <c r="AC55" s="17"/>
      <c r="AD55" s="17">
        <f>SUM(AH49,AD48,AD53)</f>
        <v>0</v>
      </c>
      <c r="AE55" s="22" t="s">
        <v>10</v>
      </c>
      <c r="AF55" s="18"/>
      <c r="AG55" s="22" t="s">
        <v>12</v>
      </c>
      <c r="AH55" s="17">
        <f>SUM(AG52:AI52)</f>
        <v>0</v>
      </c>
      <c r="AI55" s="17"/>
      <c r="AJ55" s="17"/>
      <c r="AK55" s="17"/>
      <c r="AL55" s="19"/>
      <c r="AM55" s="16"/>
      <c r="AN55" s="17"/>
      <c r="AO55" s="16"/>
      <c r="AP55" s="17"/>
      <c r="AQ55" s="17"/>
      <c r="AR55" s="17">
        <f>SUM(AV49,AR48,AR53)</f>
        <v>0</v>
      </c>
      <c r="AS55" s="22" t="s">
        <v>10</v>
      </c>
      <c r="AT55" s="18"/>
      <c r="AU55" s="22" t="s">
        <v>12</v>
      </c>
      <c r="AV55" s="17">
        <f>SUM(AU52:AW52)</f>
        <v>0</v>
      </c>
      <c r="AW55" s="17"/>
      <c r="AX55" s="17"/>
      <c r="AY55" s="17"/>
      <c r="AZ55" s="19"/>
      <c r="BA55" s="16"/>
      <c r="BB55" s="17"/>
      <c r="BC55" s="16"/>
      <c r="BD55" s="17"/>
      <c r="BE55" s="17"/>
      <c r="BF55" s="17">
        <f>SUM(BJ49,BF48,BF53)</f>
        <v>0</v>
      </c>
      <c r="BG55" s="22" t="s">
        <v>10</v>
      </c>
      <c r="BH55" s="18"/>
      <c r="BI55" s="22" t="s">
        <v>12</v>
      </c>
      <c r="BJ55" s="17">
        <f>SUM(BI52:BK52)</f>
        <v>0</v>
      </c>
      <c r="BK55" s="17"/>
      <c r="BL55" s="17"/>
      <c r="BM55" s="17"/>
      <c r="BN55" s="19"/>
    </row>
    <row r="56" spans="2:67" x14ac:dyDescent="0.25">
      <c r="AF56" s="14">
        <v>500</v>
      </c>
      <c r="AT56" s="14">
        <v>501</v>
      </c>
      <c r="BH56" s="14">
        <v>502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5:BO56"/>
  <sheetViews>
    <sheetView showGridLines="0" topLeftCell="A25" zoomScale="80" zoomScaleNormal="80" workbookViewId="0">
      <selection activeCell="F52" sqref="F52"/>
    </sheetView>
  </sheetViews>
  <sheetFormatPr defaultColWidth="5.7109375" defaultRowHeight="15" x14ac:dyDescent="0.25"/>
  <cols>
    <col min="14" max="14" width="7.140625" customWidth="1"/>
    <col min="26" max="26" width="7.140625" customWidth="1"/>
    <col min="31" max="31" width="6.42578125" customWidth="1"/>
    <col min="33" max="33" width="7.140625" customWidth="1"/>
    <col min="38" max="38" width="7.28515625" customWidth="1"/>
    <col min="52" max="52" width="6.5703125" customWidth="1"/>
    <col min="59" max="59" width="6.85546875" customWidth="1"/>
    <col min="61" max="61" width="6.5703125" customWidth="1"/>
    <col min="66" max="66" width="7.7109375" customWidth="1"/>
  </cols>
  <sheetData>
    <row r="5" spans="27:66" x14ac:dyDescent="0.25">
      <c r="AF5" s="14">
        <v>513</v>
      </c>
      <c r="AT5" s="14">
        <v>514</v>
      </c>
      <c r="BH5" s="14">
        <v>515</v>
      </c>
    </row>
    <row r="6" spans="27:66" x14ac:dyDescent="0.25">
      <c r="AA6" s="2"/>
      <c r="AB6" s="3"/>
      <c r="AC6" s="3"/>
      <c r="AD6" s="3"/>
      <c r="AE6" s="3">
        <f>AD7-AD5</f>
        <v>1300</v>
      </c>
      <c r="AF6" s="4"/>
      <c r="AG6" s="3">
        <f>AH5-AH7</f>
        <v>-1200</v>
      </c>
      <c r="AH6" s="3"/>
      <c r="AI6" s="3"/>
      <c r="AJ6" s="3"/>
      <c r="AK6" s="3"/>
      <c r="AL6" s="5"/>
      <c r="AO6" s="2"/>
      <c r="AP6" s="3"/>
      <c r="AQ6" s="3"/>
      <c r="AR6" s="3"/>
      <c r="AS6" s="3">
        <f>AR7-AR5</f>
        <v>800</v>
      </c>
      <c r="AT6" s="4"/>
      <c r="AU6" s="3">
        <f>AV5-AV7</f>
        <v>-550</v>
      </c>
      <c r="AV6" s="3"/>
      <c r="AW6" s="3"/>
      <c r="AX6" s="3"/>
      <c r="AY6" s="3"/>
      <c r="AZ6" s="5"/>
      <c r="BC6" s="2"/>
      <c r="BD6" s="3"/>
      <c r="BE6" s="3"/>
      <c r="BF6" s="3"/>
      <c r="BG6" s="3">
        <f>BF7-BF5</f>
        <v>1200</v>
      </c>
      <c r="BH6" s="4"/>
      <c r="BI6" s="3">
        <f>BJ5-BJ7</f>
        <v>-1600</v>
      </c>
      <c r="BJ6" s="3"/>
      <c r="BK6" s="3"/>
      <c r="BL6" s="3"/>
      <c r="BM6" s="3"/>
      <c r="BN6" s="5"/>
    </row>
    <row r="7" spans="27:66" x14ac:dyDescent="0.25">
      <c r="AA7" s="6"/>
      <c r="AB7" s="7"/>
      <c r="AC7" s="7"/>
      <c r="AD7" s="7">
        <f>SUM(AD10:AE10)</f>
        <v>1300</v>
      </c>
      <c r="AE7" s="12" t="s">
        <v>10</v>
      </c>
      <c r="AF7" s="8"/>
      <c r="AG7" s="12" t="s">
        <v>12</v>
      </c>
      <c r="AH7" s="7">
        <f>SUM(AD13,AH14,AH10)</f>
        <v>1200</v>
      </c>
      <c r="AI7" s="7"/>
      <c r="AJ7" s="7"/>
      <c r="AK7" s="7"/>
      <c r="AL7" s="10"/>
      <c r="AO7" s="6"/>
      <c r="AP7" s="7"/>
      <c r="AQ7" s="7"/>
      <c r="AR7" s="7">
        <f>SUM(AR10:AS10)</f>
        <v>800</v>
      </c>
      <c r="AS7" s="12" t="s">
        <v>10</v>
      </c>
      <c r="AT7" s="8"/>
      <c r="AU7" s="12" t="s">
        <v>12</v>
      </c>
      <c r="AV7" s="7">
        <f>SUM(AR13,AV14,AV10)</f>
        <v>550</v>
      </c>
      <c r="AW7" s="7"/>
      <c r="AX7" s="7"/>
      <c r="AY7" s="7"/>
      <c r="AZ7" s="10"/>
      <c r="BC7" s="6"/>
      <c r="BD7" s="7"/>
      <c r="BE7" s="7"/>
      <c r="BF7" s="7">
        <f>SUM(BF10:BG10)</f>
        <v>1200</v>
      </c>
      <c r="BG7" s="12" t="s">
        <v>10</v>
      </c>
      <c r="BH7" s="8"/>
      <c r="BI7" s="12" t="s">
        <v>12</v>
      </c>
      <c r="BJ7" s="7">
        <f>SUM(BF13,BJ14,BJ10)</f>
        <v>1600</v>
      </c>
      <c r="BK7" s="7"/>
      <c r="BL7" s="7"/>
      <c r="BM7" s="7"/>
      <c r="BN7" s="10"/>
    </row>
    <row r="8" spans="27:66" x14ac:dyDescent="0.25">
      <c r="AA8" s="6"/>
      <c r="AB8" s="7"/>
      <c r="AC8" s="7"/>
      <c r="AD8" s="7"/>
      <c r="AE8" s="7"/>
      <c r="AF8" s="8"/>
      <c r="AG8" s="7"/>
      <c r="AH8" s="7"/>
      <c r="AI8" s="7"/>
      <c r="AJ8" s="7"/>
      <c r="AK8" s="7"/>
      <c r="AL8" s="10"/>
      <c r="AO8" s="6"/>
      <c r="AP8" s="7"/>
      <c r="AQ8" s="7"/>
      <c r="AR8" s="7"/>
      <c r="AS8" s="7"/>
      <c r="AT8" s="8"/>
      <c r="AU8" s="7"/>
      <c r="AV8" s="7"/>
      <c r="AW8" s="7"/>
      <c r="AX8" s="7"/>
      <c r="AY8" s="7"/>
      <c r="AZ8" s="10"/>
      <c r="BC8" s="6"/>
      <c r="BD8" s="7"/>
      <c r="BE8" s="7"/>
      <c r="BF8" s="7"/>
      <c r="BG8" s="7"/>
      <c r="BH8" s="8"/>
      <c r="BI8" s="7"/>
      <c r="BJ8" s="7"/>
      <c r="BK8" s="7"/>
      <c r="BL8" s="7"/>
      <c r="BM8" s="7"/>
      <c r="BN8" s="10"/>
    </row>
    <row r="9" spans="27:66" x14ac:dyDescent="0.25">
      <c r="AA9" s="6"/>
      <c r="AB9" s="7"/>
      <c r="AC9" s="7"/>
      <c r="AD9" s="7"/>
      <c r="AE9" s="7"/>
      <c r="AF9" s="8"/>
      <c r="AI9" s="7"/>
      <c r="AJ9" s="7"/>
      <c r="AK9" s="7"/>
      <c r="AL9" s="10"/>
      <c r="AO9" s="6"/>
      <c r="AP9" s="7"/>
      <c r="AQ9" s="7"/>
      <c r="AR9" s="7"/>
      <c r="AS9" s="7"/>
      <c r="AT9" s="8"/>
      <c r="AW9" s="7"/>
      <c r="AX9" s="7"/>
      <c r="AY9" s="7"/>
      <c r="AZ9" s="10"/>
      <c r="BC9" s="6"/>
      <c r="BD9" s="7"/>
      <c r="BE9" s="7"/>
      <c r="BF9" s="7"/>
      <c r="BG9" s="7"/>
      <c r="BH9" s="8"/>
      <c r="BK9" s="7"/>
      <c r="BL9" s="7"/>
      <c r="BM9" s="7"/>
      <c r="BN9" s="10"/>
    </row>
    <row r="10" spans="27:66" x14ac:dyDescent="0.25">
      <c r="AA10" s="6">
        <f>SUM(AG14,AD10)</f>
        <v>750</v>
      </c>
      <c r="AB10" s="7"/>
      <c r="AD10" s="26">
        <v>300</v>
      </c>
      <c r="AE10" s="26">
        <v>1000</v>
      </c>
      <c r="AF10" s="8"/>
      <c r="AG10" s="9" t="s">
        <v>14</v>
      </c>
      <c r="AH10" s="25">
        <v>200</v>
      </c>
      <c r="AI10" s="7"/>
      <c r="AJ10" s="7"/>
      <c r="AK10" s="7">
        <f>SUM(AH10:AH11)</f>
        <v>550</v>
      </c>
      <c r="AL10" s="10"/>
      <c r="AO10" s="6">
        <f>SUM(AU14,AR10)</f>
        <v>650</v>
      </c>
      <c r="AP10" s="7"/>
      <c r="AR10" s="26">
        <v>300</v>
      </c>
      <c r="AS10" s="26">
        <v>500</v>
      </c>
      <c r="AT10" s="8"/>
      <c r="AU10" s="9" t="s">
        <v>14</v>
      </c>
      <c r="AV10" s="25">
        <v>50</v>
      </c>
      <c r="AW10" s="7"/>
      <c r="AX10" s="7"/>
      <c r="AY10" s="7">
        <f>SUM(AV10:AV11)</f>
        <v>250</v>
      </c>
      <c r="AZ10" s="10"/>
      <c r="BC10" s="6">
        <f>SUM(BI14,BF10)</f>
        <v>700</v>
      </c>
      <c r="BD10" s="7"/>
      <c r="BF10" s="26">
        <v>600</v>
      </c>
      <c r="BG10" s="26">
        <v>600</v>
      </c>
      <c r="BH10" s="8"/>
      <c r="BI10" s="9" t="s">
        <v>14</v>
      </c>
      <c r="BJ10" s="25">
        <v>200</v>
      </c>
      <c r="BK10" s="7"/>
      <c r="BL10" s="7"/>
      <c r="BM10" s="7">
        <f>SUM(BJ10:BJ11)</f>
        <v>700</v>
      </c>
      <c r="BN10" s="10"/>
    </row>
    <row r="11" spans="27:66" x14ac:dyDescent="0.25">
      <c r="AA11" s="21" t="s">
        <v>15</v>
      </c>
      <c r="AB11" s="27">
        <v>660</v>
      </c>
      <c r="AD11" s="12">
        <v>8</v>
      </c>
      <c r="AE11" s="12" t="s">
        <v>10</v>
      </c>
      <c r="AF11" s="8"/>
      <c r="AG11" s="9" t="s">
        <v>16</v>
      </c>
      <c r="AH11" s="25">
        <v>350</v>
      </c>
      <c r="AI11" s="7"/>
      <c r="AJ11" s="27">
        <v>440</v>
      </c>
      <c r="AK11" s="20" t="s">
        <v>15</v>
      </c>
      <c r="AL11" s="10">
        <f>AK10-AM10</f>
        <v>550</v>
      </c>
      <c r="AO11" s="21" t="s">
        <v>15</v>
      </c>
      <c r="AP11" s="27">
        <v>690</v>
      </c>
      <c r="AR11" s="12">
        <v>8</v>
      </c>
      <c r="AS11" s="12" t="s">
        <v>10</v>
      </c>
      <c r="AT11" s="8"/>
      <c r="AU11" s="9" t="s">
        <v>16</v>
      </c>
      <c r="AV11" s="25">
        <v>200</v>
      </c>
      <c r="AW11" s="7"/>
      <c r="AX11" s="27">
        <v>120</v>
      </c>
      <c r="AY11" s="20" t="s">
        <v>15</v>
      </c>
      <c r="AZ11" s="10">
        <f>AY10-BA10</f>
        <v>250</v>
      </c>
      <c r="BC11" s="21" t="s">
        <v>15</v>
      </c>
      <c r="BD11" s="27">
        <v>810</v>
      </c>
      <c r="BF11" s="12">
        <v>8</v>
      </c>
      <c r="BG11" s="12" t="s">
        <v>10</v>
      </c>
      <c r="BH11" s="8"/>
      <c r="BI11" s="9" t="s">
        <v>16</v>
      </c>
      <c r="BJ11" s="25">
        <v>500</v>
      </c>
      <c r="BK11" s="7"/>
      <c r="BL11" s="27">
        <v>900</v>
      </c>
      <c r="BM11" s="20" t="s">
        <v>15</v>
      </c>
      <c r="BN11" s="10">
        <f>BM10-BO10</f>
        <v>700</v>
      </c>
    </row>
    <row r="12" spans="27:66" x14ac:dyDescent="0.25">
      <c r="AA12" s="14">
        <v>409</v>
      </c>
      <c r="AB12" s="23" t="s">
        <v>18</v>
      </c>
      <c r="AC12" s="23" t="s">
        <v>18</v>
      </c>
      <c r="AD12" s="23" t="s">
        <v>18</v>
      </c>
      <c r="AE12" s="23" t="s">
        <v>18</v>
      </c>
      <c r="AF12" s="14">
        <v>408</v>
      </c>
      <c r="AG12" s="23" t="s">
        <v>18</v>
      </c>
      <c r="AH12" s="23" t="s">
        <v>18</v>
      </c>
      <c r="AI12" s="23" t="s">
        <v>18</v>
      </c>
      <c r="AJ12" s="23" t="s">
        <v>18</v>
      </c>
      <c r="AK12" s="23" t="s">
        <v>18</v>
      </c>
      <c r="AL12" s="14">
        <v>407</v>
      </c>
      <c r="AO12" s="14">
        <v>406</v>
      </c>
      <c r="AP12" s="23" t="s">
        <v>18</v>
      </c>
      <c r="AQ12" s="23" t="s">
        <v>18</v>
      </c>
      <c r="AR12" s="23" t="s">
        <v>18</v>
      </c>
      <c r="AS12" s="23" t="s">
        <v>18</v>
      </c>
      <c r="AT12" s="14">
        <v>405</v>
      </c>
      <c r="AU12" s="23" t="s">
        <v>18</v>
      </c>
      <c r="AV12" s="23" t="s">
        <v>18</v>
      </c>
      <c r="AW12" s="23" t="s">
        <v>18</v>
      </c>
      <c r="AX12" s="23" t="s">
        <v>18</v>
      </c>
      <c r="AY12" s="23" t="s">
        <v>18</v>
      </c>
      <c r="AZ12" s="14">
        <v>404</v>
      </c>
      <c r="BC12" s="14">
        <v>403</v>
      </c>
      <c r="BD12" s="23" t="s">
        <v>18</v>
      </c>
      <c r="BE12" s="23" t="s">
        <v>18</v>
      </c>
      <c r="BF12" s="23" t="s">
        <v>18</v>
      </c>
      <c r="BG12" s="23" t="s">
        <v>18</v>
      </c>
      <c r="BH12" s="14">
        <v>402</v>
      </c>
      <c r="BI12" s="23" t="s">
        <v>18</v>
      </c>
      <c r="BJ12" s="23" t="s">
        <v>18</v>
      </c>
      <c r="BK12" s="23" t="s">
        <v>18</v>
      </c>
      <c r="BL12" s="23" t="s">
        <v>18</v>
      </c>
      <c r="BM12" s="23" t="s">
        <v>18</v>
      </c>
      <c r="BN12" s="14">
        <v>401</v>
      </c>
    </row>
    <row r="13" spans="27:66" x14ac:dyDescent="0.25">
      <c r="AA13" s="21"/>
      <c r="AB13" s="8"/>
      <c r="AC13" s="7"/>
      <c r="AD13" s="7"/>
      <c r="AE13" s="9"/>
      <c r="AF13" s="8"/>
      <c r="AG13" s="12" t="s">
        <v>11</v>
      </c>
      <c r="AH13" s="12" t="s">
        <v>12</v>
      </c>
      <c r="AI13" s="12"/>
      <c r="AJ13" s="7"/>
      <c r="AK13" s="24"/>
      <c r="AL13" s="10"/>
      <c r="AO13" s="21"/>
      <c r="AP13" s="8"/>
      <c r="AQ13" s="7"/>
      <c r="AR13" s="7"/>
      <c r="AS13" s="9"/>
      <c r="AT13" s="8"/>
      <c r="AU13" s="12" t="s">
        <v>11</v>
      </c>
      <c r="AV13" s="12" t="s">
        <v>12</v>
      </c>
      <c r="AW13" s="12"/>
      <c r="AX13" s="7"/>
      <c r="AY13" s="24"/>
      <c r="AZ13" s="10"/>
      <c r="BC13" s="21"/>
      <c r="BD13" s="8"/>
      <c r="BE13" s="7"/>
      <c r="BF13" s="7"/>
      <c r="BG13" s="9"/>
      <c r="BH13" s="8"/>
      <c r="BI13" s="12" t="s">
        <v>11</v>
      </c>
      <c r="BJ13" s="12" t="s">
        <v>12</v>
      </c>
      <c r="BK13" s="12"/>
      <c r="BL13" s="7"/>
      <c r="BM13" s="24"/>
      <c r="BN13" s="10"/>
    </row>
    <row r="14" spans="27:66" x14ac:dyDescent="0.25">
      <c r="AA14" s="6"/>
      <c r="AB14" s="8"/>
      <c r="AC14" s="7"/>
      <c r="AD14" s="7"/>
      <c r="AE14" s="9"/>
      <c r="AF14" s="8"/>
      <c r="AG14" s="25">
        <v>450</v>
      </c>
      <c r="AH14" s="26">
        <v>1000</v>
      </c>
      <c r="AI14" s="11"/>
      <c r="AJ14" s="7"/>
      <c r="AK14" s="8"/>
      <c r="AL14" s="10"/>
      <c r="AO14" s="6"/>
      <c r="AP14" s="8"/>
      <c r="AQ14" s="7"/>
      <c r="AR14" s="7"/>
      <c r="AS14" s="9"/>
      <c r="AT14" s="8"/>
      <c r="AU14" s="25">
        <v>350</v>
      </c>
      <c r="AV14" s="26">
        <v>500</v>
      </c>
      <c r="AW14" s="11"/>
      <c r="AX14" s="7"/>
      <c r="AY14" s="8"/>
      <c r="AZ14" s="10"/>
      <c r="BC14" s="6"/>
      <c r="BD14" s="8"/>
      <c r="BE14" s="7"/>
      <c r="BF14" s="7"/>
      <c r="BG14" s="9"/>
      <c r="BH14" s="8"/>
      <c r="BI14" s="25">
        <v>100</v>
      </c>
      <c r="BJ14" s="26">
        <v>1400</v>
      </c>
      <c r="BK14" s="11"/>
      <c r="BL14" s="7"/>
      <c r="BM14" s="8"/>
      <c r="BN14" s="10"/>
    </row>
    <row r="15" spans="27:66" x14ac:dyDescent="0.25">
      <c r="AA15" s="6"/>
      <c r="AB15" s="8"/>
      <c r="AC15" s="7"/>
      <c r="AD15" s="7"/>
      <c r="AE15" s="9"/>
      <c r="AF15" s="8"/>
      <c r="AG15" s="7"/>
      <c r="AH15" s="7"/>
      <c r="AI15" s="7"/>
      <c r="AJ15" s="7"/>
      <c r="AK15" s="8"/>
      <c r="AL15" s="10"/>
      <c r="AO15" s="6"/>
      <c r="AP15" s="8"/>
      <c r="AQ15" s="7"/>
      <c r="AR15" s="7"/>
      <c r="AS15" s="9"/>
      <c r="AT15" s="8"/>
      <c r="AU15" s="7"/>
      <c r="AV15" s="7"/>
      <c r="AW15" s="7"/>
      <c r="AX15" s="7"/>
      <c r="AY15" s="8"/>
      <c r="AZ15" s="10"/>
      <c r="BC15" s="6"/>
      <c r="BD15" s="8"/>
      <c r="BE15" s="7"/>
      <c r="BF15" s="7"/>
      <c r="BG15" s="9"/>
      <c r="BH15" s="8"/>
      <c r="BI15" s="7"/>
      <c r="BJ15" s="7"/>
      <c r="BK15" s="7"/>
      <c r="BL15" s="7"/>
      <c r="BM15" s="8"/>
      <c r="BN15" s="10"/>
    </row>
    <row r="16" spans="27:66" x14ac:dyDescent="0.25">
      <c r="AA16" s="13"/>
      <c r="AB16" s="8"/>
      <c r="AC16" s="8"/>
      <c r="AD16" s="7"/>
      <c r="AE16" s="7"/>
      <c r="AF16" s="8"/>
      <c r="AG16" s="7"/>
      <c r="AH16" s="7"/>
      <c r="AI16" s="8"/>
      <c r="AJ16" s="8"/>
      <c r="AK16" s="8"/>
      <c r="AL16" s="15"/>
      <c r="AM16" s="1"/>
      <c r="AN16" s="1"/>
      <c r="AO16" s="13"/>
      <c r="AP16" s="8"/>
      <c r="AQ16" s="8"/>
      <c r="AR16" s="7"/>
      <c r="AS16" s="7"/>
      <c r="AT16" s="8"/>
      <c r="AU16" s="7"/>
      <c r="AV16" s="7"/>
      <c r="AW16" s="8"/>
      <c r="AX16" s="8"/>
      <c r="AY16" s="8"/>
      <c r="AZ16" s="15"/>
      <c r="BA16" s="1"/>
      <c r="BB16" s="1"/>
      <c r="BC16" s="13"/>
      <c r="BD16" s="8"/>
      <c r="BE16" s="8"/>
      <c r="BF16" s="7"/>
      <c r="BG16" s="7"/>
      <c r="BH16" s="8"/>
      <c r="BI16" s="7"/>
      <c r="BJ16" s="7"/>
      <c r="BK16" s="8"/>
      <c r="BL16" s="8"/>
      <c r="BM16" s="8"/>
      <c r="BN16" s="15"/>
    </row>
    <row r="17" spans="3:66" x14ac:dyDescent="0.25">
      <c r="AA17" s="16"/>
      <c r="AB17" s="17"/>
      <c r="AC17" s="17"/>
      <c r="AD17" s="17">
        <f>SUM(AH11,AE10,AD15)</f>
        <v>1350</v>
      </c>
      <c r="AE17" s="22" t="s">
        <v>10</v>
      </c>
      <c r="AF17" s="18"/>
      <c r="AG17" s="22" t="s">
        <v>12</v>
      </c>
      <c r="AH17" s="17">
        <f>SUM(AG14:AI14)</f>
        <v>1450</v>
      </c>
      <c r="AI17" s="17"/>
      <c r="AJ17" s="17"/>
      <c r="AK17" s="17"/>
      <c r="AL17" s="19"/>
      <c r="AO17" s="16"/>
      <c r="AP17" s="17"/>
      <c r="AQ17" s="17"/>
      <c r="AR17" s="17">
        <f>SUM(AV11,AS10,AR15)</f>
        <v>700</v>
      </c>
      <c r="AS17" s="22" t="s">
        <v>10</v>
      </c>
      <c r="AT17" s="18"/>
      <c r="AU17" s="22" t="s">
        <v>12</v>
      </c>
      <c r="AV17" s="17">
        <f>SUM(AU14:AW14)</f>
        <v>850</v>
      </c>
      <c r="AW17" s="17"/>
      <c r="AX17" s="17"/>
      <c r="AY17" s="17"/>
      <c r="AZ17" s="19"/>
      <c r="BC17" s="16"/>
      <c r="BD17" s="17"/>
      <c r="BE17" s="17"/>
      <c r="BF17" s="17">
        <f>SUM(BJ11,BG10,BF15)</f>
        <v>1100</v>
      </c>
      <c r="BG17" s="22" t="s">
        <v>10</v>
      </c>
      <c r="BH17" s="18"/>
      <c r="BI17" s="22" t="s">
        <v>12</v>
      </c>
      <c r="BJ17" s="17">
        <f>SUM(BI14:BK14)</f>
        <v>1500</v>
      </c>
      <c r="BK17" s="17"/>
      <c r="BL17" s="17"/>
      <c r="BM17" s="17"/>
      <c r="BN17" s="19"/>
    </row>
    <row r="18" spans="3:66" x14ac:dyDescent="0.25">
      <c r="AA18" s="2"/>
      <c r="AB18" s="3"/>
      <c r="AC18" s="3"/>
      <c r="AD18" s="3"/>
      <c r="AE18" s="3">
        <f>AD19-AD17</f>
        <v>250</v>
      </c>
      <c r="AF18" s="4"/>
      <c r="AG18" s="3">
        <f>AH17-AH19</f>
        <v>150</v>
      </c>
      <c r="AH18" s="3"/>
      <c r="AI18" s="3"/>
      <c r="AJ18" s="3"/>
      <c r="AK18" s="3"/>
      <c r="AL18" s="5"/>
      <c r="AO18" s="2"/>
      <c r="AP18" s="3"/>
      <c r="AQ18" s="3"/>
      <c r="AR18" s="3"/>
      <c r="AS18" s="3">
        <f>AR19-AR17</f>
        <v>100</v>
      </c>
      <c r="AT18" s="4"/>
      <c r="AU18" s="3">
        <f>AV17-AV19</f>
        <v>-150</v>
      </c>
      <c r="AV18" s="3"/>
      <c r="AW18" s="3"/>
      <c r="AX18" s="3"/>
      <c r="AY18" s="3"/>
      <c r="AZ18" s="5"/>
      <c r="BC18" s="2"/>
      <c r="BD18" s="3"/>
      <c r="BE18" s="3"/>
      <c r="BF18" s="3"/>
      <c r="BG18" s="3">
        <f>BF19-BF17</f>
        <v>100</v>
      </c>
      <c r="BH18" s="4"/>
      <c r="BI18" s="3">
        <f>BJ17-BJ19</f>
        <v>-200</v>
      </c>
      <c r="BJ18" s="3"/>
      <c r="BK18" s="3"/>
      <c r="BL18" s="3"/>
      <c r="BM18" s="3"/>
      <c r="BN18" s="5"/>
    </row>
    <row r="19" spans="3:66" x14ac:dyDescent="0.25">
      <c r="AA19" s="13"/>
      <c r="AB19" s="8"/>
      <c r="AC19" s="8"/>
      <c r="AD19" s="7">
        <f>SUM(AC22:AE22)</f>
        <v>1600</v>
      </c>
      <c r="AE19" s="12" t="s">
        <v>10</v>
      </c>
      <c r="AF19" s="8"/>
      <c r="AG19" s="12" t="s">
        <v>12</v>
      </c>
      <c r="AH19" s="7">
        <f>SUM(AD25,AG26,AH21)</f>
        <v>1300</v>
      </c>
      <c r="AI19" s="8"/>
      <c r="AJ19" s="8"/>
      <c r="AK19" s="8"/>
      <c r="AL19" s="15"/>
      <c r="AM19" s="1"/>
      <c r="AN19" s="1"/>
      <c r="AO19" s="13"/>
      <c r="AP19" s="8"/>
      <c r="AQ19" s="8"/>
      <c r="AR19" s="7">
        <f>SUM(AQ22:AS22)</f>
        <v>800</v>
      </c>
      <c r="AS19" s="12" t="s">
        <v>10</v>
      </c>
      <c r="AT19" s="8"/>
      <c r="AU19" s="12" t="s">
        <v>12</v>
      </c>
      <c r="AV19" s="7">
        <f>SUM(AR25,AU26,AV21)</f>
        <v>1000</v>
      </c>
      <c r="AW19" s="8"/>
      <c r="AX19" s="8"/>
      <c r="AY19" s="8"/>
      <c r="AZ19" s="15"/>
      <c r="BA19" s="1"/>
      <c r="BB19" s="1"/>
      <c r="BC19" s="13"/>
      <c r="BD19" s="8"/>
      <c r="BE19" s="8"/>
      <c r="BF19" s="7">
        <f>SUM(BE22:BG22)</f>
        <v>1200</v>
      </c>
      <c r="BG19" s="12" t="s">
        <v>10</v>
      </c>
      <c r="BH19" s="8"/>
      <c r="BI19" s="12" t="s">
        <v>12</v>
      </c>
      <c r="BJ19" s="7">
        <f>SUM(BF25,BI26,BJ21)</f>
        <v>1700</v>
      </c>
      <c r="BK19" s="8"/>
      <c r="BL19" s="8"/>
      <c r="BM19" s="8"/>
      <c r="BN19" s="15"/>
    </row>
    <row r="20" spans="3:66" x14ac:dyDescent="0.25">
      <c r="AA20" s="6"/>
      <c r="AB20" s="8"/>
      <c r="AC20" s="7"/>
      <c r="AD20" s="7"/>
      <c r="AE20" s="7"/>
      <c r="AF20" s="8"/>
      <c r="AG20" s="7"/>
      <c r="AH20" s="7"/>
      <c r="AI20" s="7"/>
      <c r="AJ20" s="7"/>
      <c r="AK20" s="8"/>
      <c r="AL20" s="10"/>
      <c r="AO20" s="6"/>
      <c r="AP20" s="8"/>
      <c r="AQ20" s="7"/>
      <c r="AR20" s="7"/>
      <c r="AS20" s="7"/>
      <c r="AT20" s="8"/>
      <c r="AU20" s="7"/>
      <c r="AV20" s="7"/>
      <c r="AW20" s="7"/>
      <c r="AX20" s="7"/>
      <c r="AY20" s="8"/>
      <c r="AZ20" s="10"/>
      <c r="BC20" s="6"/>
      <c r="BD20" s="8"/>
      <c r="BE20" s="7"/>
      <c r="BF20" s="7"/>
      <c r="BG20" s="7"/>
      <c r="BH20" s="8"/>
      <c r="BI20" s="7"/>
      <c r="BJ20" s="7"/>
      <c r="BK20" s="7"/>
      <c r="BL20" s="7"/>
      <c r="BM20" s="8"/>
      <c r="BN20" s="10"/>
    </row>
    <row r="21" spans="3:66" x14ac:dyDescent="0.25">
      <c r="AA21" s="6"/>
      <c r="AB21" s="8"/>
      <c r="AC21" s="7"/>
      <c r="AD21" s="7"/>
      <c r="AE21" s="7"/>
      <c r="AF21" s="8"/>
      <c r="AG21" s="9"/>
      <c r="AH21" s="7"/>
      <c r="AI21" s="7"/>
      <c r="AJ21" s="7"/>
      <c r="AK21" s="8"/>
      <c r="AL21" s="10"/>
      <c r="AO21" s="6"/>
      <c r="AP21" s="8"/>
      <c r="AQ21" s="7"/>
      <c r="AR21" s="7"/>
      <c r="AS21" s="7"/>
      <c r="AT21" s="8"/>
      <c r="AU21" s="9"/>
      <c r="AV21" s="7"/>
      <c r="AW21" s="7"/>
      <c r="AX21" s="7"/>
      <c r="AY21" s="8"/>
      <c r="AZ21" s="10"/>
      <c r="BC21" s="6"/>
      <c r="BD21" s="8"/>
      <c r="BE21" s="7"/>
      <c r="BF21" s="7"/>
      <c r="BG21" s="7"/>
      <c r="BH21" s="8"/>
      <c r="BI21" s="9"/>
      <c r="BJ21" s="7"/>
      <c r="BK21" s="7"/>
      <c r="BL21" s="7"/>
      <c r="BM21" s="8"/>
      <c r="BN21" s="10"/>
    </row>
    <row r="22" spans="3:66" x14ac:dyDescent="0.25">
      <c r="AA22" s="6"/>
      <c r="AB22" s="8"/>
      <c r="AC22" s="11"/>
      <c r="AD22" s="26">
        <v>1200</v>
      </c>
      <c r="AE22" s="26">
        <v>400</v>
      </c>
      <c r="AF22" s="8"/>
      <c r="AG22" s="9"/>
      <c r="AH22" s="7"/>
      <c r="AI22" s="7"/>
      <c r="AJ22" s="7"/>
      <c r="AK22" s="8"/>
      <c r="AL22" s="10"/>
      <c r="AO22" s="6"/>
      <c r="AP22" s="8"/>
      <c r="AQ22" s="11"/>
      <c r="AR22" s="26">
        <v>500</v>
      </c>
      <c r="AS22" s="26">
        <v>300</v>
      </c>
      <c r="AT22" s="8"/>
      <c r="AU22" s="9"/>
      <c r="AV22" s="7"/>
      <c r="AW22" s="7"/>
      <c r="AX22" s="7"/>
      <c r="AY22" s="8"/>
      <c r="AZ22" s="10"/>
      <c r="BC22" s="6"/>
      <c r="BD22" s="8"/>
      <c r="BE22" s="11"/>
      <c r="BF22" s="26">
        <v>1000</v>
      </c>
      <c r="BG22" s="26">
        <v>200</v>
      </c>
      <c r="BH22" s="8"/>
      <c r="BI22" s="9"/>
      <c r="BJ22" s="7"/>
      <c r="BK22" s="7"/>
      <c r="BL22" s="7"/>
      <c r="BM22" s="8"/>
      <c r="BN22" s="10"/>
    </row>
    <row r="23" spans="3:66" x14ac:dyDescent="0.25">
      <c r="AA23" s="21"/>
      <c r="AB23" s="8"/>
      <c r="AC23" s="12"/>
      <c r="AD23" s="12" t="s">
        <v>10</v>
      </c>
      <c r="AE23" s="12">
        <v>9</v>
      </c>
      <c r="AF23" s="8"/>
      <c r="AG23" s="9"/>
      <c r="AH23" s="7"/>
      <c r="AI23" s="7"/>
      <c r="AJ23" s="7"/>
      <c r="AK23" s="24"/>
      <c r="AL23" s="10"/>
      <c r="AO23" s="21"/>
      <c r="AP23" s="8"/>
      <c r="AQ23" s="12"/>
      <c r="AR23" s="12" t="s">
        <v>10</v>
      </c>
      <c r="AS23" s="12">
        <v>9</v>
      </c>
      <c r="AT23" s="8"/>
      <c r="AU23" s="9"/>
      <c r="AV23" s="7"/>
      <c r="AW23" s="7"/>
      <c r="AX23" s="7"/>
      <c r="AY23" s="24"/>
      <c r="AZ23" s="10"/>
      <c r="BC23" s="21"/>
      <c r="BD23" s="8"/>
      <c r="BE23" s="12"/>
      <c r="BF23" s="12" t="s">
        <v>10</v>
      </c>
      <c r="BG23" s="12">
        <v>9</v>
      </c>
      <c r="BH23" s="8"/>
      <c r="BI23" s="9"/>
      <c r="BJ23" s="7"/>
      <c r="BK23" s="7"/>
      <c r="BL23" s="7"/>
      <c r="BM23" s="24"/>
      <c r="BN23" s="10"/>
    </row>
    <row r="24" spans="3:66" x14ac:dyDescent="0.25">
      <c r="AA24" s="14">
        <v>319</v>
      </c>
      <c r="AB24" s="23" t="s">
        <v>17</v>
      </c>
      <c r="AC24" s="23" t="s">
        <v>17</v>
      </c>
      <c r="AD24" s="23" t="s">
        <v>17</v>
      </c>
      <c r="AE24" s="23" t="s">
        <v>17</v>
      </c>
      <c r="AF24" s="14">
        <v>320</v>
      </c>
      <c r="AG24" s="23" t="s">
        <v>17</v>
      </c>
      <c r="AH24" s="23" t="s">
        <v>17</v>
      </c>
      <c r="AI24" s="23" t="s">
        <v>17</v>
      </c>
      <c r="AJ24" s="23" t="s">
        <v>17</v>
      </c>
      <c r="AK24" s="23" t="s">
        <v>17</v>
      </c>
      <c r="AL24" s="14">
        <v>321</v>
      </c>
      <c r="AO24" s="14">
        <v>322</v>
      </c>
      <c r="AP24" s="23" t="s">
        <v>17</v>
      </c>
      <c r="AQ24" s="23" t="s">
        <v>17</v>
      </c>
      <c r="AR24" s="23" t="s">
        <v>17</v>
      </c>
      <c r="AS24" s="23" t="s">
        <v>17</v>
      </c>
      <c r="AT24" s="14">
        <v>323</v>
      </c>
      <c r="AU24" s="23" t="s">
        <v>17</v>
      </c>
      <c r="AV24" s="23" t="s">
        <v>17</v>
      </c>
      <c r="AW24" s="23" t="s">
        <v>17</v>
      </c>
      <c r="AX24" s="23" t="s">
        <v>17</v>
      </c>
      <c r="AY24" s="23" t="s">
        <v>17</v>
      </c>
      <c r="AZ24" s="14">
        <v>324</v>
      </c>
      <c r="BC24" s="14">
        <v>325</v>
      </c>
      <c r="BD24" s="23" t="s">
        <v>17</v>
      </c>
      <c r="BE24" s="23" t="s">
        <v>17</v>
      </c>
      <c r="BF24" s="23" t="s">
        <v>17</v>
      </c>
      <c r="BG24" s="23" t="s">
        <v>17</v>
      </c>
      <c r="BH24" s="14">
        <v>326</v>
      </c>
      <c r="BI24" s="23" t="s">
        <v>17</v>
      </c>
      <c r="BJ24" s="23" t="s">
        <v>17</v>
      </c>
      <c r="BK24" s="23" t="s">
        <v>17</v>
      </c>
      <c r="BL24" s="23" t="s">
        <v>17</v>
      </c>
      <c r="BM24" s="23" t="s">
        <v>17</v>
      </c>
      <c r="BN24" s="14">
        <v>327</v>
      </c>
    </row>
    <row r="25" spans="3:66" x14ac:dyDescent="0.25">
      <c r="AA25" s="21" t="s">
        <v>8</v>
      </c>
      <c r="AB25" s="27">
        <v>890</v>
      </c>
      <c r="AC25" s="7"/>
      <c r="AD25" s="25">
        <v>600</v>
      </c>
      <c r="AE25" s="9" t="s">
        <v>7</v>
      </c>
      <c r="AF25" s="8"/>
      <c r="AG25" s="12" t="s">
        <v>12</v>
      </c>
      <c r="AH25" s="12" t="s">
        <v>13</v>
      </c>
      <c r="AJ25" s="27">
        <v>740</v>
      </c>
      <c r="AK25" s="20" t="s">
        <v>8</v>
      </c>
      <c r="AL25" s="10">
        <f>AM26-AK26</f>
        <v>-700</v>
      </c>
      <c r="AO25" s="21" t="s">
        <v>8</v>
      </c>
      <c r="AP25" s="27">
        <v>740</v>
      </c>
      <c r="AQ25" s="7"/>
      <c r="AR25" s="25">
        <v>200</v>
      </c>
      <c r="AS25" s="9" t="s">
        <v>7</v>
      </c>
      <c r="AT25" s="8"/>
      <c r="AU25" s="12" t="s">
        <v>12</v>
      </c>
      <c r="AV25" s="12" t="s">
        <v>13</v>
      </c>
      <c r="AX25" s="27">
        <v>390</v>
      </c>
      <c r="AY25" s="20" t="s">
        <v>8</v>
      </c>
      <c r="AZ25" s="10">
        <f>BA26-AY26</f>
        <v>-450</v>
      </c>
      <c r="BC25" s="21" t="s">
        <v>8</v>
      </c>
      <c r="BD25" s="27">
        <v>820</v>
      </c>
      <c r="BE25" s="7"/>
      <c r="BF25" s="25">
        <v>500</v>
      </c>
      <c r="BG25" s="9" t="s">
        <v>7</v>
      </c>
      <c r="BH25" s="8"/>
      <c r="BI25" s="12" t="s">
        <v>12</v>
      </c>
      <c r="BJ25" s="12" t="s">
        <v>13</v>
      </c>
      <c r="BL25" s="27">
        <v>270</v>
      </c>
      <c r="BM25" s="20" t="s">
        <v>8</v>
      </c>
      <c r="BN25" s="10">
        <f>BO26-BM26</f>
        <v>-250</v>
      </c>
    </row>
    <row r="26" spans="3:66" x14ac:dyDescent="0.25">
      <c r="AA26" s="6">
        <f>SUM(AD25:AD26)</f>
        <v>950</v>
      </c>
      <c r="AB26" s="7"/>
      <c r="AC26" s="7"/>
      <c r="AD26" s="25">
        <v>350</v>
      </c>
      <c r="AE26" s="9" t="s">
        <v>9</v>
      </c>
      <c r="AF26" s="8"/>
      <c r="AG26" s="25">
        <v>700</v>
      </c>
      <c r="AH26" s="26">
        <v>300</v>
      </c>
      <c r="AJ26" s="7"/>
      <c r="AK26" s="7">
        <f>SUM(AE22,AH26)</f>
        <v>700</v>
      </c>
      <c r="AL26" s="10"/>
      <c r="AO26" s="6">
        <f>SUM(AR25:AR26)</f>
        <v>650</v>
      </c>
      <c r="AP26" s="7"/>
      <c r="AQ26" s="7"/>
      <c r="AR26" s="25">
        <v>450</v>
      </c>
      <c r="AS26" s="9" t="s">
        <v>9</v>
      </c>
      <c r="AT26" s="8"/>
      <c r="AU26" s="25">
        <v>800</v>
      </c>
      <c r="AV26" s="26">
        <v>150</v>
      </c>
      <c r="AX26" s="7"/>
      <c r="AY26" s="7">
        <f>SUM(AS22,AV26)</f>
        <v>450</v>
      </c>
      <c r="AZ26" s="10"/>
      <c r="BC26" s="6">
        <f>SUM(BF25:BF26)</f>
        <v>650</v>
      </c>
      <c r="BD26" s="7"/>
      <c r="BE26" s="7"/>
      <c r="BF26" s="25">
        <v>150</v>
      </c>
      <c r="BG26" s="9" t="s">
        <v>9</v>
      </c>
      <c r="BH26" s="8"/>
      <c r="BI26" s="25">
        <v>1200</v>
      </c>
      <c r="BJ26" s="26">
        <v>50</v>
      </c>
      <c r="BL26" s="7"/>
      <c r="BM26" s="7">
        <f>SUM(BG22,BJ26)</f>
        <v>250</v>
      </c>
      <c r="BN26" s="10"/>
    </row>
    <row r="27" spans="3:66" x14ac:dyDescent="0.25">
      <c r="AA27" s="6"/>
      <c r="AB27" s="7"/>
      <c r="AC27" s="7"/>
      <c r="AF27" s="8"/>
      <c r="AG27" s="7"/>
      <c r="AH27" s="7"/>
      <c r="AI27" s="7"/>
      <c r="AJ27" s="7"/>
      <c r="AK27" s="7"/>
      <c r="AL27" s="10"/>
      <c r="AO27" s="6"/>
      <c r="AP27" s="7"/>
      <c r="AQ27" s="7"/>
      <c r="AT27" s="8"/>
      <c r="AU27" s="7"/>
      <c r="AV27" s="7"/>
      <c r="AW27" s="7"/>
      <c r="AX27" s="7"/>
      <c r="AY27" s="7"/>
      <c r="AZ27" s="10"/>
      <c r="BC27" s="6"/>
      <c r="BD27" s="7"/>
      <c r="BE27" s="7"/>
      <c r="BH27" s="8"/>
      <c r="BI27" s="7"/>
      <c r="BJ27" s="7"/>
      <c r="BK27" s="7"/>
      <c r="BL27" s="7"/>
      <c r="BM27" s="7"/>
      <c r="BN27" s="10"/>
    </row>
    <row r="28" spans="3:66" x14ac:dyDescent="0.25">
      <c r="AA28" s="6"/>
      <c r="AB28" s="7"/>
      <c r="AC28" s="7"/>
      <c r="AD28" s="7"/>
      <c r="AE28" s="7"/>
      <c r="AF28" s="8"/>
      <c r="AG28" s="7"/>
      <c r="AH28" s="7"/>
      <c r="AI28" s="7"/>
      <c r="AJ28" s="7"/>
      <c r="AK28" s="7"/>
      <c r="AL28" s="10"/>
      <c r="AO28" s="6"/>
      <c r="AP28" s="7"/>
      <c r="AQ28" s="7"/>
      <c r="AR28" s="7"/>
      <c r="AS28" s="7"/>
      <c r="AT28" s="8"/>
      <c r="AU28" s="7"/>
      <c r="AV28" s="7"/>
      <c r="AW28" s="7"/>
      <c r="AX28" s="7"/>
      <c r="AY28" s="7"/>
      <c r="AZ28" s="10"/>
      <c r="BC28" s="6"/>
      <c r="BD28" s="7"/>
      <c r="BE28" s="7"/>
      <c r="BF28" s="7"/>
      <c r="BG28" s="7"/>
      <c r="BH28" s="8"/>
      <c r="BI28" s="7"/>
      <c r="BJ28" s="7"/>
      <c r="BK28" s="7"/>
      <c r="BL28" s="7"/>
      <c r="BM28" s="7"/>
      <c r="BN28" s="10"/>
    </row>
    <row r="29" spans="3:66" x14ac:dyDescent="0.25">
      <c r="AA29" s="16"/>
      <c r="AB29" s="17"/>
      <c r="AC29" s="17"/>
      <c r="AD29" s="17">
        <f>SUM(AH23,AD22,AD26)</f>
        <v>1550</v>
      </c>
      <c r="AE29" s="22" t="s">
        <v>10</v>
      </c>
      <c r="AF29" s="18"/>
      <c r="AG29" s="22" t="s">
        <v>12</v>
      </c>
      <c r="AH29" s="17">
        <f>SUM(AG26:AH26)</f>
        <v>1000</v>
      </c>
      <c r="AI29" s="17"/>
      <c r="AJ29" s="17"/>
      <c r="AK29" s="17"/>
      <c r="AL29" s="19"/>
      <c r="AO29" s="16"/>
      <c r="AP29" s="17"/>
      <c r="AQ29" s="17"/>
      <c r="AR29" s="17">
        <f>SUM(AV23,AR22,AR26)</f>
        <v>950</v>
      </c>
      <c r="AS29" s="22" t="s">
        <v>10</v>
      </c>
      <c r="AT29" s="18"/>
      <c r="AU29" s="22" t="s">
        <v>12</v>
      </c>
      <c r="AV29" s="17">
        <f>SUM(AU26:AV26)</f>
        <v>950</v>
      </c>
      <c r="AW29" s="17"/>
      <c r="AX29" s="17"/>
      <c r="AY29" s="17"/>
      <c r="AZ29" s="19"/>
      <c r="BC29" s="16"/>
      <c r="BD29" s="17"/>
      <c r="BE29" s="17"/>
      <c r="BF29" s="17">
        <f>SUM(BJ23,BF22,BF26)</f>
        <v>1150</v>
      </c>
      <c r="BG29" s="22" t="s">
        <v>10</v>
      </c>
      <c r="BH29" s="18"/>
      <c r="BI29" s="22" t="s">
        <v>12</v>
      </c>
      <c r="BJ29" s="17">
        <f>SUM(BI26:BJ26)</f>
        <v>1250</v>
      </c>
      <c r="BK29" s="17"/>
      <c r="BL29" s="17"/>
      <c r="BM29" s="17"/>
      <c r="BN29" s="19"/>
    </row>
    <row r="30" spans="3:66" x14ac:dyDescent="0.25">
      <c r="C30" s="2"/>
      <c r="D30" s="3"/>
      <c r="E30" s="3"/>
      <c r="F30" s="3"/>
      <c r="G30" s="3">
        <f>F31-F29</f>
        <v>650</v>
      </c>
      <c r="H30" s="14">
        <v>223</v>
      </c>
      <c r="I30" s="3"/>
      <c r="J30" s="3"/>
      <c r="K30" s="3"/>
      <c r="L30" s="3"/>
      <c r="M30" s="3"/>
      <c r="N30" s="5"/>
      <c r="O30" s="2"/>
      <c r="P30" s="3"/>
      <c r="Q30" s="3"/>
      <c r="R30" s="3"/>
      <c r="S30" s="3"/>
      <c r="T30" s="14">
        <v>114</v>
      </c>
      <c r="U30" s="3">
        <f>V29-V31</f>
        <v>-400</v>
      </c>
      <c r="V30" s="3"/>
      <c r="W30" s="3"/>
      <c r="X30" s="3"/>
      <c r="Y30" s="3"/>
      <c r="Z30" s="5"/>
      <c r="AA30" s="2"/>
      <c r="AB30" s="3"/>
      <c r="AC30" s="3"/>
      <c r="AD30" s="3"/>
      <c r="AE30" s="3">
        <f>AD31-AD29</f>
        <v>150</v>
      </c>
      <c r="AF30" s="4"/>
      <c r="AG30" s="3">
        <f>AH29-AH31</f>
        <v>-150</v>
      </c>
      <c r="AH30" s="3"/>
      <c r="AI30" s="3"/>
      <c r="AJ30" s="3"/>
      <c r="AK30" s="3"/>
      <c r="AL30" s="5"/>
      <c r="AM30" s="2"/>
      <c r="AN30" s="3"/>
      <c r="AO30" s="2"/>
      <c r="AP30" s="3"/>
      <c r="AQ30" s="3"/>
      <c r="AR30" s="3"/>
      <c r="AS30" s="3">
        <f>AR31-AR29</f>
        <v>150</v>
      </c>
      <c r="AT30" s="4"/>
      <c r="AU30" s="3">
        <f>AV29-AV31</f>
        <v>-100</v>
      </c>
      <c r="AV30" s="3"/>
      <c r="AW30" s="3"/>
      <c r="AX30" s="3"/>
      <c r="AY30" s="3"/>
      <c r="AZ30" s="5"/>
      <c r="BA30" s="2"/>
      <c r="BB30" s="3"/>
      <c r="BC30" s="2"/>
      <c r="BD30" s="3"/>
      <c r="BE30" s="3"/>
      <c r="BF30" s="3"/>
      <c r="BG30" s="3">
        <f>BF31-BF29</f>
        <v>-50</v>
      </c>
      <c r="BH30" s="4"/>
      <c r="BI30" s="3">
        <f>BJ29-BJ31</f>
        <v>-150</v>
      </c>
      <c r="BJ30" s="3"/>
      <c r="BK30" s="3"/>
      <c r="BL30" s="3"/>
      <c r="BM30" s="3"/>
      <c r="BN30" s="5"/>
    </row>
    <row r="31" spans="3:66" x14ac:dyDescent="0.25">
      <c r="C31" s="6"/>
      <c r="D31" s="7"/>
      <c r="E31" s="7"/>
      <c r="F31" s="7">
        <f>SUM(F34:G34)</f>
        <v>650</v>
      </c>
      <c r="G31" s="12" t="s">
        <v>10</v>
      </c>
      <c r="H31" s="23" t="s">
        <v>20</v>
      </c>
      <c r="I31" s="12"/>
      <c r="J31" s="7"/>
      <c r="K31" s="7"/>
      <c r="L31" s="7"/>
      <c r="M31" s="7"/>
      <c r="N31" s="10"/>
      <c r="O31" s="6"/>
      <c r="P31" s="7"/>
      <c r="Q31" s="7"/>
      <c r="R31" s="7"/>
      <c r="S31" s="12"/>
      <c r="T31" s="23" t="s">
        <v>19</v>
      </c>
      <c r="U31" s="12" t="s">
        <v>12</v>
      </c>
      <c r="V31" s="7">
        <f>SUM(R37,V34)</f>
        <v>400</v>
      </c>
      <c r="W31" s="7"/>
      <c r="X31" s="7"/>
      <c r="Y31" s="7"/>
      <c r="Z31" s="10"/>
      <c r="AA31" s="6"/>
      <c r="AB31" s="7"/>
      <c r="AC31" s="7"/>
      <c r="AD31" s="7">
        <f>SUM(AC34:AE34)</f>
        <v>1700</v>
      </c>
      <c r="AE31" s="12" t="s">
        <v>10</v>
      </c>
      <c r="AF31" s="8"/>
      <c r="AG31" s="12" t="s">
        <v>12</v>
      </c>
      <c r="AH31" s="7">
        <f>SUM(AD37,AH38,AH33)</f>
        <v>1150</v>
      </c>
      <c r="AI31" s="7"/>
      <c r="AJ31" s="7"/>
      <c r="AK31" s="7"/>
      <c r="AL31" s="10"/>
      <c r="AM31" s="6"/>
      <c r="AN31" s="7"/>
      <c r="AO31" s="6"/>
      <c r="AP31" s="7"/>
      <c r="AQ31" s="7"/>
      <c r="AR31" s="7">
        <f>SUM(AQ34:AS34)</f>
        <v>1100</v>
      </c>
      <c r="AS31" s="12" t="s">
        <v>10</v>
      </c>
      <c r="AT31" s="8"/>
      <c r="AU31" s="12" t="s">
        <v>12</v>
      </c>
      <c r="AV31" s="7">
        <f>SUM(AR37,AV38,AV33)</f>
        <v>1050</v>
      </c>
      <c r="AW31" s="7"/>
      <c r="AX31" s="7"/>
      <c r="AY31" s="7"/>
      <c r="AZ31" s="10"/>
      <c r="BA31" s="6"/>
      <c r="BB31" s="7"/>
      <c r="BC31" s="6"/>
      <c r="BD31" s="7"/>
      <c r="BE31" s="7"/>
      <c r="BF31" s="7">
        <f>SUM(BE34:BG34)</f>
        <v>1100</v>
      </c>
      <c r="BG31" s="12" t="s">
        <v>10</v>
      </c>
      <c r="BH31" s="8"/>
      <c r="BI31" s="12" t="s">
        <v>12</v>
      </c>
      <c r="BJ31" s="7">
        <f>SUM(BF37,BJ38,BJ33)</f>
        <v>1400</v>
      </c>
      <c r="BK31" s="7"/>
      <c r="BL31" s="7"/>
      <c r="BM31" s="7"/>
      <c r="BN31" s="10"/>
    </row>
    <row r="32" spans="3:66" x14ac:dyDescent="0.25">
      <c r="C32" s="6"/>
      <c r="D32" s="7"/>
      <c r="E32" s="7"/>
      <c r="F32" s="7"/>
      <c r="G32" s="27">
        <v>650</v>
      </c>
      <c r="H32" s="23" t="s">
        <v>20</v>
      </c>
      <c r="I32" s="7"/>
      <c r="J32" s="7"/>
      <c r="K32" s="7"/>
      <c r="L32" s="7"/>
      <c r="M32" s="7"/>
      <c r="N32" s="10"/>
      <c r="O32" s="6"/>
      <c r="P32" s="7"/>
      <c r="Q32" s="7"/>
      <c r="R32" s="7"/>
      <c r="S32" s="7"/>
      <c r="T32" s="23" t="s">
        <v>19</v>
      </c>
      <c r="U32" s="27">
        <v>490</v>
      </c>
      <c r="V32" s="7"/>
      <c r="W32" s="7"/>
      <c r="X32" s="7"/>
      <c r="Y32" s="7"/>
      <c r="Z32" s="10"/>
      <c r="AA32" s="6"/>
      <c r="AB32" s="7"/>
      <c r="AC32" s="7"/>
      <c r="AD32" s="7"/>
      <c r="AE32" s="7"/>
      <c r="AF32" s="8"/>
      <c r="AG32" s="7"/>
      <c r="AH32" s="7"/>
      <c r="AI32" s="7"/>
      <c r="AJ32" s="7"/>
      <c r="AK32" s="7"/>
      <c r="AL32" s="10"/>
      <c r="AM32" s="6"/>
      <c r="AN32" s="7"/>
      <c r="AO32" s="6"/>
      <c r="AP32" s="7"/>
      <c r="AQ32" s="7"/>
      <c r="AR32" s="7"/>
      <c r="AS32" s="7"/>
      <c r="AT32" s="8"/>
      <c r="AU32" s="7"/>
      <c r="AV32" s="7"/>
      <c r="AW32" s="7"/>
      <c r="AX32" s="7"/>
      <c r="AY32" s="7"/>
      <c r="AZ32" s="10"/>
      <c r="BA32" s="6"/>
      <c r="BB32" s="7"/>
      <c r="BC32" s="6"/>
      <c r="BD32" s="7"/>
      <c r="BE32" s="7"/>
      <c r="BF32" s="7"/>
      <c r="BG32" s="7"/>
      <c r="BH32" s="8"/>
      <c r="BI32" s="7"/>
      <c r="BJ32" s="7"/>
      <c r="BK32" s="7"/>
      <c r="BL32" s="7"/>
      <c r="BM32" s="7"/>
      <c r="BN32" s="10"/>
    </row>
    <row r="33" spans="2:67" x14ac:dyDescent="0.25">
      <c r="C33" s="6"/>
      <c r="D33" s="7"/>
      <c r="E33" s="7"/>
      <c r="F33" s="7"/>
      <c r="G33" s="7"/>
      <c r="H33" s="23" t="s">
        <v>20</v>
      </c>
      <c r="I33" s="9"/>
      <c r="J33" s="7"/>
      <c r="K33" s="7"/>
      <c r="L33" s="7"/>
      <c r="M33" s="7"/>
      <c r="N33" s="10"/>
      <c r="O33" s="6"/>
      <c r="P33" s="7"/>
      <c r="Q33" s="7"/>
      <c r="R33" s="7"/>
      <c r="S33" s="7"/>
      <c r="T33" s="23" t="s">
        <v>19</v>
      </c>
      <c r="W33" s="7"/>
      <c r="X33" s="7"/>
      <c r="Y33" s="7"/>
      <c r="Z33" s="10"/>
      <c r="AA33" s="6"/>
      <c r="AB33" s="7"/>
      <c r="AC33" s="7"/>
      <c r="AD33" s="7"/>
      <c r="AE33" s="7"/>
      <c r="AF33" s="8"/>
      <c r="AG33" s="9" t="s">
        <v>14</v>
      </c>
      <c r="AH33" s="28">
        <v>100</v>
      </c>
      <c r="AI33" s="7"/>
      <c r="AJ33" s="7"/>
      <c r="AK33" s="7"/>
      <c r="AL33" s="10"/>
      <c r="AM33" s="6"/>
      <c r="AN33" s="7"/>
      <c r="AO33" s="6"/>
      <c r="AP33" s="7"/>
      <c r="AQ33" s="7"/>
      <c r="AR33" s="7"/>
      <c r="AS33" s="7"/>
      <c r="AT33" s="8"/>
      <c r="AU33" s="9" t="s">
        <v>14</v>
      </c>
      <c r="AV33" s="28">
        <v>100</v>
      </c>
      <c r="AW33" s="7"/>
      <c r="AX33" s="7"/>
      <c r="AY33" s="7"/>
      <c r="AZ33" s="10"/>
      <c r="BA33" s="6"/>
      <c r="BB33" s="7"/>
      <c r="BC33" s="6"/>
      <c r="BD33" s="7"/>
      <c r="BE33" s="7"/>
      <c r="BF33" s="7"/>
      <c r="BG33" s="7"/>
      <c r="BH33" s="8"/>
      <c r="BI33" s="9" t="s">
        <v>14</v>
      </c>
      <c r="BJ33" s="28">
        <v>100</v>
      </c>
      <c r="BK33" s="7"/>
      <c r="BL33" s="7"/>
      <c r="BM33" s="7"/>
      <c r="BN33" s="10"/>
    </row>
    <row r="34" spans="2:67" x14ac:dyDescent="0.25">
      <c r="C34" s="6">
        <f>SUM(I38,J34,F34)</f>
        <v>350</v>
      </c>
      <c r="D34" s="7"/>
      <c r="F34" s="26">
        <v>100</v>
      </c>
      <c r="G34" s="26">
        <v>550</v>
      </c>
      <c r="H34" s="23" t="s">
        <v>20</v>
      </c>
      <c r="I34" s="9" t="s">
        <v>15</v>
      </c>
      <c r="J34" s="28">
        <v>250</v>
      </c>
      <c r="K34" s="7"/>
      <c r="L34" s="7"/>
      <c r="M34" s="7">
        <f>SUM(J33:J35)</f>
        <v>950</v>
      </c>
      <c r="N34" s="10"/>
      <c r="O34" s="6">
        <f>SUM(U38,V35,Q34)</f>
        <v>850</v>
      </c>
      <c r="P34" s="7"/>
      <c r="Q34" s="11"/>
      <c r="R34" s="11"/>
      <c r="S34" s="11"/>
      <c r="T34" s="23" t="s">
        <v>19</v>
      </c>
      <c r="U34" s="9" t="s">
        <v>14</v>
      </c>
      <c r="V34" s="28">
        <v>300</v>
      </c>
      <c r="W34" s="7"/>
      <c r="X34" s="7"/>
      <c r="Y34" s="7">
        <f>SUM(V34:V35)</f>
        <v>1100</v>
      </c>
      <c r="Z34" s="10"/>
      <c r="AA34" s="6">
        <f>SUM(AG38,AH34,AC34)</f>
        <v>1250</v>
      </c>
      <c r="AB34" s="7"/>
      <c r="AC34" s="25">
        <v>200</v>
      </c>
      <c r="AD34" s="26">
        <v>1200</v>
      </c>
      <c r="AE34" s="26">
        <v>300</v>
      </c>
      <c r="AF34" s="8"/>
      <c r="AG34" s="9" t="s">
        <v>15</v>
      </c>
      <c r="AH34" s="25">
        <v>1000</v>
      </c>
      <c r="AI34" s="7"/>
      <c r="AJ34" s="7"/>
      <c r="AK34" s="7">
        <f>SUM(AH33:AH35)</f>
        <v>1150</v>
      </c>
      <c r="AL34" s="10"/>
      <c r="AM34" s="6">
        <f>SUM(AU38,AV34,AQ34)</f>
        <v>1300</v>
      </c>
      <c r="AN34" s="7"/>
      <c r="AO34" s="6"/>
      <c r="AP34" s="7"/>
      <c r="AQ34" s="25">
        <v>250</v>
      </c>
      <c r="AR34" s="26">
        <v>800</v>
      </c>
      <c r="AS34" s="26">
        <v>50</v>
      </c>
      <c r="AT34" s="8"/>
      <c r="AU34" s="9" t="s">
        <v>15</v>
      </c>
      <c r="AV34" s="25">
        <v>1000</v>
      </c>
      <c r="AW34" s="7"/>
      <c r="AX34" s="7"/>
      <c r="AY34" s="7">
        <f>SUM(AV33:AV35)</f>
        <v>1250</v>
      </c>
      <c r="AZ34" s="10"/>
      <c r="BA34" s="6">
        <f>SUM(BI38,BJ34,BE34)</f>
        <v>1100</v>
      </c>
      <c r="BB34" s="7"/>
      <c r="BC34" s="6"/>
      <c r="BD34" s="7"/>
      <c r="BE34" s="25">
        <v>200</v>
      </c>
      <c r="BF34" s="26">
        <v>800</v>
      </c>
      <c r="BG34" s="26">
        <v>100</v>
      </c>
      <c r="BH34" s="8"/>
      <c r="BI34" s="9" t="s">
        <v>15</v>
      </c>
      <c r="BJ34" s="25">
        <v>800</v>
      </c>
      <c r="BK34" s="7"/>
      <c r="BL34" s="7"/>
      <c r="BM34" s="7">
        <f>SUM(BJ33:BJ35)</f>
        <v>1100</v>
      </c>
      <c r="BN34" s="10"/>
    </row>
    <row r="35" spans="2:67" x14ac:dyDescent="0.25">
      <c r="C35" s="21" t="s">
        <v>15</v>
      </c>
      <c r="D35" s="7"/>
      <c r="F35" s="12">
        <v>8</v>
      </c>
      <c r="G35" s="12">
        <v>9</v>
      </c>
      <c r="H35" s="23" t="s">
        <v>20</v>
      </c>
      <c r="I35" s="9" t="s">
        <v>16</v>
      </c>
      <c r="J35" s="28">
        <v>700</v>
      </c>
      <c r="K35" s="7"/>
      <c r="L35" s="7"/>
      <c r="M35" s="20" t="s">
        <v>15</v>
      </c>
      <c r="N35" s="10">
        <f>M34-O34</f>
        <v>100</v>
      </c>
      <c r="O35" s="21" t="s">
        <v>15</v>
      </c>
      <c r="P35" s="7"/>
      <c r="Q35" s="12"/>
      <c r="R35" s="12"/>
      <c r="S35" s="12"/>
      <c r="T35" s="23" t="s">
        <v>19</v>
      </c>
      <c r="U35" s="9" t="s">
        <v>15</v>
      </c>
      <c r="V35" s="25">
        <v>800</v>
      </c>
      <c r="W35" s="7"/>
      <c r="X35" s="7"/>
      <c r="Y35" s="20" t="s">
        <v>15</v>
      </c>
      <c r="Z35" s="10">
        <f>Y34-AA34</f>
        <v>-150</v>
      </c>
      <c r="AA35" s="21" t="s">
        <v>15</v>
      </c>
      <c r="AB35" s="7"/>
      <c r="AC35" s="12">
        <v>8</v>
      </c>
      <c r="AD35" s="12" t="s">
        <v>10</v>
      </c>
      <c r="AE35" s="12">
        <v>9</v>
      </c>
      <c r="AF35" s="8"/>
      <c r="AG35" s="9" t="s">
        <v>16</v>
      </c>
      <c r="AH35" s="25">
        <v>50</v>
      </c>
      <c r="AI35" s="7"/>
      <c r="AJ35" s="7"/>
      <c r="AK35" s="20" t="s">
        <v>15</v>
      </c>
      <c r="AL35" s="10">
        <f>AK34-AM34</f>
        <v>-150</v>
      </c>
      <c r="AM35" s="21" t="s">
        <v>15</v>
      </c>
      <c r="AN35" s="20"/>
      <c r="AO35" s="21"/>
      <c r="AP35" s="7"/>
      <c r="AQ35" s="12">
        <v>8</v>
      </c>
      <c r="AR35" s="12" t="s">
        <v>10</v>
      </c>
      <c r="AS35" s="12">
        <v>9</v>
      </c>
      <c r="AT35" s="8"/>
      <c r="AU35" s="9" t="s">
        <v>16</v>
      </c>
      <c r="AV35" s="25">
        <v>150</v>
      </c>
      <c r="AW35" s="7"/>
      <c r="AX35" s="7"/>
      <c r="AY35" s="20" t="s">
        <v>15</v>
      </c>
      <c r="AZ35" s="10">
        <f>AY34-BA34</f>
        <v>150</v>
      </c>
      <c r="BA35" s="21" t="s">
        <v>15</v>
      </c>
      <c r="BB35" s="20"/>
      <c r="BC35" s="21"/>
      <c r="BD35" s="7"/>
      <c r="BE35" s="12">
        <v>8</v>
      </c>
      <c r="BF35" s="12" t="s">
        <v>10</v>
      </c>
      <c r="BG35" s="12">
        <v>9</v>
      </c>
      <c r="BH35" s="8"/>
      <c r="BI35" s="9" t="s">
        <v>16</v>
      </c>
      <c r="BJ35" s="25">
        <v>200</v>
      </c>
      <c r="BK35" s="7"/>
      <c r="BL35" s="7"/>
      <c r="BM35" s="20" t="s">
        <v>15</v>
      </c>
      <c r="BN35" s="10">
        <f>BM34-BO34</f>
        <v>1100</v>
      </c>
    </row>
    <row r="36" spans="2:67" x14ac:dyDescent="0.25">
      <c r="B36" s="14">
        <v>508</v>
      </c>
      <c r="C36" s="13"/>
      <c r="D36" s="8"/>
      <c r="E36" s="8"/>
      <c r="F36" s="8"/>
      <c r="G36" s="8"/>
      <c r="H36" s="14">
        <v>224</v>
      </c>
      <c r="I36" s="8"/>
      <c r="J36" s="8"/>
      <c r="K36" s="8"/>
      <c r="L36" s="8"/>
      <c r="M36" s="8"/>
      <c r="N36" s="15"/>
      <c r="O36" s="13"/>
      <c r="P36" s="8"/>
      <c r="Q36" s="8"/>
      <c r="R36" s="8"/>
      <c r="S36" s="8"/>
      <c r="T36" s="14">
        <v>113</v>
      </c>
      <c r="U36" s="8"/>
      <c r="V36" s="8"/>
      <c r="W36" s="8"/>
      <c r="X36" s="8"/>
      <c r="Y36" s="8"/>
      <c r="Z36" s="15"/>
      <c r="AA36" s="13"/>
      <c r="AB36" s="8"/>
      <c r="AC36" s="8"/>
      <c r="AD36" s="8"/>
      <c r="AE36" s="8"/>
      <c r="AF36" s="14">
        <v>509</v>
      </c>
      <c r="AG36" s="8"/>
      <c r="AH36" s="8"/>
      <c r="AI36" s="8"/>
      <c r="AJ36" s="8"/>
      <c r="AK36" s="8"/>
      <c r="AL36" s="15"/>
      <c r="AM36" s="13"/>
      <c r="AN36" s="8"/>
      <c r="AO36" s="13"/>
      <c r="AP36" s="8"/>
      <c r="AQ36" s="8"/>
      <c r="AR36" s="8"/>
      <c r="AS36" s="8"/>
      <c r="AT36" s="14">
        <v>510</v>
      </c>
      <c r="AU36" s="8"/>
      <c r="AV36" s="8"/>
      <c r="AW36" s="8"/>
      <c r="AX36" s="8"/>
      <c r="AY36" s="8"/>
      <c r="AZ36" s="15"/>
      <c r="BA36" s="13"/>
      <c r="BB36" s="8"/>
      <c r="BC36" s="13"/>
      <c r="BD36" s="8"/>
      <c r="BE36" s="8"/>
      <c r="BF36" s="8"/>
      <c r="BG36" s="8"/>
      <c r="BH36" s="14">
        <v>511</v>
      </c>
      <c r="BI36" s="8"/>
      <c r="BJ36" s="8"/>
      <c r="BK36" s="8"/>
      <c r="BL36" s="8"/>
      <c r="BM36" s="8"/>
      <c r="BN36" s="15"/>
      <c r="BO36" s="14">
        <v>512</v>
      </c>
    </row>
    <row r="37" spans="2:67" x14ac:dyDescent="0.25">
      <c r="C37" s="21" t="s">
        <v>8</v>
      </c>
      <c r="D37" s="7"/>
      <c r="E37" s="7"/>
      <c r="F37" s="25">
        <v>800</v>
      </c>
      <c r="G37" s="9" t="s">
        <v>8</v>
      </c>
      <c r="H37" s="23" t="s">
        <v>20</v>
      </c>
      <c r="I37" s="12"/>
      <c r="J37" s="12"/>
      <c r="K37" s="12"/>
      <c r="L37" s="7"/>
      <c r="M37" s="20" t="s">
        <v>8</v>
      </c>
      <c r="N37" s="10">
        <f>O38-M38</f>
        <v>-150</v>
      </c>
      <c r="O37" s="21" t="s">
        <v>8</v>
      </c>
      <c r="P37" s="7"/>
      <c r="Q37" s="7"/>
      <c r="R37" s="25">
        <v>100</v>
      </c>
      <c r="S37" s="9" t="s">
        <v>7</v>
      </c>
      <c r="T37" s="23" t="s">
        <v>19</v>
      </c>
      <c r="U37" s="12" t="s">
        <v>11</v>
      </c>
      <c r="V37" s="12" t="s">
        <v>13</v>
      </c>
      <c r="X37" s="7"/>
      <c r="Y37" s="20" t="s">
        <v>8</v>
      </c>
      <c r="Z37" s="10">
        <f>AA38-Y38</f>
        <v>-50</v>
      </c>
      <c r="AA37" s="21" t="s">
        <v>8</v>
      </c>
      <c r="AB37" s="7"/>
      <c r="AC37" s="7"/>
      <c r="AD37" s="25">
        <v>50</v>
      </c>
      <c r="AE37" s="9" t="s">
        <v>7</v>
      </c>
      <c r="AF37" s="8"/>
      <c r="AG37" s="12" t="s">
        <v>11</v>
      </c>
      <c r="AH37" s="12" t="s">
        <v>12</v>
      </c>
      <c r="AI37" s="12" t="s">
        <v>13</v>
      </c>
      <c r="AJ37" s="7"/>
      <c r="AK37" s="20" t="s">
        <v>8</v>
      </c>
      <c r="AL37" s="10">
        <f>AM38-AK38</f>
        <v>150</v>
      </c>
      <c r="AM37" s="21" t="s">
        <v>8</v>
      </c>
      <c r="AN37" s="20"/>
      <c r="AO37" s="21"/>
      <c r="AP37" s="7"/>
      <c r="AQ37" s="7"/>
      <c r="AR37" s="25">
        <v>50</v>
      </c>
      <c r="AS37" s="9" t="s">
        <v>7</v>
      </c>
      <c r="AT37" s="8"/>
      <c r="AU37" s="12" t="s">
        <v>11</v>
      </c>
      <c r="AV37" s="12" t="s">
        <v>12</v>
      </c>
      <c r="AW37" s="12" t="s">
        <v>13</v>
      </c>
      <c r="AX37" s="7"/>
      <c r="AY37" s="20" t="s">
        <v>8</v>
      </c>
      <c r="AZ37" s="10">
        <f>BA38-AY38</f>
        <v>-150</v>
      </c>
      <c r="BA37" s="21" t="s">
        <v>8</v>
      </c>
      <c r="BB37" s="20"/>
      <c r="BC37" s="21"/>
      <c r="BD37" s="7"/>
      <c r="BE37" s="7"/>
      <c r="BF37" s="25">
        <v>100</v>
      </c>
      <c r="BG37" s="9" t="s">
        <v>7</v>
      </c>
      <c r="BH37" s="8"/>
      <c r="BI37" s="12" t="s">
        <v>11</v>
      </c>
      <c r="BJ37" s="12" t="s">
        <v>12</v>
      </c>
      <c r="BK37" s="12" t="s">
        <v>13</v>
      </c>
      <c r="BL37" s="7"/>
      <c r="BM37" s="20" t="s">
        <v>8</v>
      </c>
      <c r="BN37" s="10">
        <f>BO38-BM38</f>
        <v>-1500</v>
      </c>
    </row>
    <row r="38" spans="2:67" x14ac:dyDescent="0.25">
      <c r="C38" s="6">
        <f>SUM(F37:F38)</f>
        <v>1050</v>
      </c>
      <c r="D38" s="7"/>
      <c r="E38" s="7"/>
      <c r="F38" s="25">
        <v>250</v>
      </c>
      <c r="G38" s="9" t="s">
        <v>9</v>
      </c>
      <c r="H38" s="23" t="s">
        <v>20</v>
      </c>
      <c r="I38" s="11"/>
      <c r="J38" s="11"/>
      <c r="K38" s="11"/>
      <c r="L38" s="7"/>
      <c r="M38" s="7">
        <f>SUM(G34,F37,K38)</f>
        <v>1350</v>
      </c>
      <c r="N38" s="10"/>
      <c r="O38" s="6">
        <f>SUM(R37:R39)</f>
        <v>1200</v>
      </c>
      <c r="P38" s="7"/>
      <c r="Q38" s="7"/>
      <c r="R38" s="25">
        <v>1100</v>
      </c>
      <c r="S38" s="9" t="s">
        <v>8</v>
      </c>
      <c r="T38" s="23" t="s">
        <v>19</v>
      </c>
      <c r="U38" s="25">
        <v>50</v>
      </c>
      <c r="V38" s="25">
        <v>300</v>
      </c>
      <c r="X38" s="7"/>
      <c r="Y38" s="7">
        <f>SUM(S34,R38,V38)</f>
        <v>1400</v>
      </c>
      <c r="Z38" s="10"/>
      <c r="AA38" s="6">
        <f>SUM(AD37:AD39)</f>
        <v>1350</v>
      </c>
      <c r="AB38" s="7"/>
      <c r="AC38" s="7"/>
      <c r="AD38" s="25">
        <v>1200</v>
      </c>
      <c r="AE38" s="9" t="s">
        <v>8</v>
      </c>
      <c r="AF38" s="8"/>
      <c r="AG38" s="25">
        <v>50</v>
      </c>
      <c r="AH38" s="26">
        <v>1000</v>
      </c>
      <c r="AI38" s="26">
        <v>100</v>
      </c>
      <c r="AJ38" s="7"/>
      <c r="AK38" s="7">
        <f>SUM(AE34,AD38,AI38)</f>
        <v>1600</v>
      </c>
      <c r="AL38" s="10"/>
      <c r="AM38" s="6">
        <f>SUM(AR37:AR39)</f>
        <v>1750</v>
      </c>
      <c r="AN38" s="7"/>
      <c r="AO38" s="6"/>
      <c r="AP38" s="7"/>
      <c r="AQ38" s="7"/>
      <c r="AR38" s="25">
        <v>1600</v>
      </c>
      <c r="AS38" s="9" t="s">
        <v>8</v>
      </c>
      <c r="AT38" s="8"/>
      <c r="AU38" s="25">
        <v>50</v>
      </c>
      <c r="AV38" s="26">
        <v>900</v>
      </c>
      <c r="AW38" s="26">
        <v>100</v>
      </c>
      <c r="AX38" s="7"/>
      <c r="AY38" s="7">
        <f>SUM(AS34,AR38,AW38)</f>
        <v>1750</v>
      </c>
      <c r="AZ38" s="10"/>
      <c r="BA38" s="6">
        <f>SUM(BF37:BF39)</f>
        <v>1600</v>
      </c>
      <c r="BB38" s="7"/>
      <c r="BC38" s="6"/>
      <c r="BD38" s="7"/>
      <c r="BE38" s="7"/>
      <c r="BF38" s="25">
        <v>1200</v>
      </c>
      <c r="BG38" s="9" t="s">
        <v>8</v>
      </c>
      <c r="BH38" s="8"/>
      <c r="BI38" s="25">
        <v>100</v>
      </c>
      <c r="BJ38" s="26">
        <v>1200</v>
      </c>
      <c r="BK38" s="26">
        <v>200</v>
      </c>
      <c r="BL38" s="7"/>
      <c r="BM38" s="7">
        <f>SUM(BG34,BF38,BK38)</f>
        <v>1500</v>
      </c>
      <c r="BN38" s="10"/>
    </row>
    <row r="39" spans="2:67" x14ac:dyDescent="0.25">
      <c r="C39" s="6"/>
      <c r="D39" s="7"/>
      <c r="E39" s="7"/>
      <c r="H39" s="23" t="s">
        <v>20</v>
      </c>
      <c r="I39" s="7"/>
      <c r="J39" s="7"/>
      <c r="K39" s="7"/>
      <c r="L39" s="7"/>
      <c r="M39" s="7"/>
      <c r="N39" s="10"/>
      <c r="O39" s="6"/>
      <c r="P39" s="7"/>
      <c r="Q39" s="7"/>
      <c r="R39" s="7"/>
      <c r="S39" s="9"/>
      <c r="T39" s="23" t="s">
        <v>19</v>
      </c>
      <c r="U39" s="7"/>
      <c r="V39" s="7"/>
      <c r="W39" s="7"/>
      <c r="X39" s="7"/>
      <c r="Y39" s="7"/>
      <c r="Z39" s="10"/>
      <c r="AA39" s="6"/>
      <c r="AB39" s="7"/>
      <c r="AC39" s="7"/>
      <c r="AD39" s="25">
        <v>100</v>
      </c>
      <c r="AE39" s="9" t="s">
        <v>9</v>
      </c>
      <c r="AF39" s="8"/>
      <c r="AG39" s="7"/>
      <c r="AH39" s="7"/>
      <c r="AI39" s="7"/>
      <c r="AJ39" s="7"/>
      <c r="AK39" s="7"/>
      <c r="AL39" s="10"/>
      <c r="AM39" s="6"/>
      <c r="AN39" s="7"/>
      <c r="AO39" s="6"/>
      <c r="AP39" s="7"/>
      <c r="AQ39" s="7"/>
      <c r="AR39" s="25">
        <v>100</v>
      </c>
      <c r="AS39" s="9" t="s">
        <v>9</v>
      </c>
      <c r="AT39" s="8"/>
      <c r="AU39" s="7"/>
      <c r="AV39" s="7"/>
      <c r="AW39" s="7"/>
      <c r="AX39" s="7"/>
      <c r="AY39" s="7"/>
      <c r="AZ39" s="10"/>
      <c r="BA39" s="6"/>
      <c r="BB39" s="7"/>
      <c r="BC39" s="6"/>
      <c r="BD39" s="7"/>
      <c r="BE39" s="7"/>
      <c r="BF39" s="25">
        <v>300</v>
      </c>
      <c r="BG39" s="9" t="s">
        <v>9</v>
      </c>
      <c r="BH39" s="8"/>
      <c r="BI39" s="7"/>
      <c r="BJ39" s="7"/>
      <c r="BK39" s="7"/>
      <c r="BL39" s="7"/>
      <c r="BM39" s="7"/>
      <c r="BN39" s="10"/>
    </row>
    <row r="40" spans="2:67" x14ac:dyDescent="0.25">
      <c r="C40" s="6"/>
      <c r="D40" s="7"/>
      <c r="E40" s="7"/>
      <c r="F40" s="7"/>
      <c r="G40" s="27">
        <v>890</v>
      </c>
      <c r="H40" s="23" t="s">
        <v>20</v>
      </c>
      <c r="I40" s="7"/>
      <c r="J40" s="7"/>
      <c r="K40" s="7"/>
      <c r="L40" s="7"/>
      <c r="M40" s="7"/>
      <c r="N40" s="10"/>
      <c r="O40" s="6"/>
      <c r="P40" s="7"/>
      <c r="Q40" s="7"/>
      <c r="R40" s="7"/>
      <c r="S40" s="7"/>
      <c r="T40" s="23" t="s">
        <v>19</v>
      </c>
      <c r="U40" s="27">
        <v>380</v>
      </c>
      <c r="V40" s="7"/>
      <c r="W40" s="7"/>
      <c r="X40" s="7"/>
      <c r="Y40" s="7"/>
      <c r="Z40" s="10"/>
      <c r="AA40" s="6"/>
      <c r="AB40" s="7"/>
      <c r="AC40" s="7"/>
      <c r="AD40" s="7"/>
      <c r="AE40" s="7"/>
      <c r="AF40" s="8"/>
      <c r="AG40" s="7"/>
      <c r="AH40" s="7"/>
      <c r="AI40" s="7"/>
      <c r="AJ40" s="7"/>
      <c r="AK40" s="7"/>
      <c r="AL40" s="10"/>
      <c r="AM40" s="6"/>
      <c r="AN40" s="7"/>
      <c r="AO40" s="6"/>
      <c r="AP40" s="7"/>
      <c r="AQ40" s="7"/>
      <c r="AR40" s="7"/>
      <c r="AS40" s="7"/>
      <c r="AT40" s="8"/>
      <c r="AU40" s="7"/>
      <c r="AV40" s="7"/>
      <c r="AW40" s="7"/>
      <c r="AX40" s="7"/>
      <c r="AY40" s="7"/>
      <c r="AZ40" s="10"/>
      <c r="BA40" s="6"/>
      <c r="BB40" s="7"/>
      <c r="BC40" s="6"/>
      <c r="BD40" s="7"/>
      <c r="BE40" s="7"/>
      <c r="BF40" s="7"/>
      <c r="BG40" s="7"/>
      <c r="BH40" s="8"/>
      <c r="BI40" s="7"/>
      <c r="BJ40" s="7"/>
      <c r="BK40" s="7"/>
      <c r="BL40" s="7"/>
      <c r="BM40" s="7"/>
      <c r="BN40" s="10"/>
    </row>
    <row r="41" spans="2:67" x14ac:dyDescent="0.25">
      <c r="C41" s="16"/>
      <c r="D41" s="17"/>
      <c r="E41" s="17"/>
      <c r="F41" s="17">
        <f>SUM(J35,F38)</f>
        <v>950</v>
      </c>
      <c r="G41" s="22" t="s">
        <v>10</v>
      </c>
      <c r="H41" s="14">
        <v>225</v>
      </c>
      <c r="I41" s="22"/>
      <c r="J41" s="17"/>
      <c r="K41" s="17"/>
      <c r="L41" s="17"/>
      <c r="M41" s="17"/>
      <c r="N41" s="19"/>
      <c r="O41" s="16"/>
      <c r="P41" s="17"/>
      <c r="Q41" s="17"/>
      <c r="R41" s="17"/>
      <c r="S41" s="22"/>
      <c r="T41" s="14">
        <v>112</v>
      </c>
      <c r="U41" s="22" t="s">
        <v>12</v>
      </c>
      <c r="V41" s="17">
        <f>SUM(U38:V38)</f>
        <v>350</v>
      </c>
      <c r="W41" s="17"/>
      <c r="X41" s="17"/>
      <c r="Y41" s="17"/>
      <c r="Z41" s="19"/>
      <c r="AA41" s="16"/>
      <c r="AB41" s="17"/>
      <c r="AC41" s="17"/>
      <c r="AD41" s="17">
        <f>SUM(AH35,AD34,AD39)</f>
        <v>1350</v>
      </c>
      <c r="AE41" s="22" t="s">
        <v>10</v>
      </c>
      <c r="AF41" s="18"/>
      <c r="AG41" s="22" t="s">
        <v>12</v>
      </c>
      <c r="AH41" s="17">
        <f>SUM(AG38:AI38)</f>
        <v>1150</v>
      </c>
      <c r="AI41" s="17"/>
      <c r="AJ41" s="17"/>
      <c r="AK41" s="17"/>
      <c r="AL41" s="19"/>
      <c r="AM41" s="16"/>
      <c r="AN41" s="17"/>
      <c r="AO41" s="16"/>
      <c r="AP41" s="17"/>
      <c r="AQ41" s="17"/>
      <c r="AR41" s="17">
        <f>SUM(AV35,AR34,AR39)</f>
        <v>1050</v>
      </c>
      <c r="AS41" s="22" t="s">
        <v>10</v>
      </c>
      <c r="AT41" s="18"/>
      <c r="AU41" s="22" t="s">
        <v>12</v>
      </c>
      <c r="AV41" s="17">
        <f>SUM(AU38:AW38)</f>
        <v>1050</v>
      </c>
      <c r="AW41" s="17"/>
      <c r="AX41" s="17"/>
      <c r="AY41" s="17"/>
      <c r="AZ41" s="19"/>
      <c r="BA41" s="16"/>
      <c r="BB41" s="17"/>
      <c r="BC41" s="16"/>
      <c r="BD41" s="17"/>
      <c r="BE41" s="17"/>
      <c r="BF41" s="17">
        <f>SUM(BJ35,BF34,BF39)</f>
        <v>1300</v>
      </c>
      <c r="BG41" s="22" t="s">
        <v>10</v>
      </c>
      <c r="BH41" s="18"/>
      <c r="BI41" s="22" t="s">
        <v>12</v>
      </c>
      <c r="BJ41" s="17">
        <f>SUM(BI38:BK38)</f>
        <v>1500</v>
      </c>
      <c r="BK41" s="17"/>
      <c r="BL41" s="17"/>
      <c r="BM41" s="17"/>
      <c r="BN41" s="19"/>
    </row>
    <row r="42" spans="2:67" x14ac:dyDescent="0.25">
      <c r="AA42" s="2"/>
      <c r="AB42" s="3"/>
      <c r="AC42" s="3"/>
      <c r="AD42" s="3"/>
      <c r="AE42" s="3">
        <f>AD43-AD41</f>
        <v>-100</v>
      </c>
      <c r="AF42" s="4"/>
      <c r="AG42" s="3">
        <f>AH41-AH43</f>
        <v>-200</v>
      </c>
      <c r="AH42" s="3"/>
      <c r="AI42" s="3"/>
      <c r="AJ42" s="3"/>
      <c r="AK42" s="3"/>
      <c r="AL42" s="5"/>
      <c r="AM42" s="2"/>
      <c r="AN42" s="3"/>
      <c r="AO42" s="2"/>
      <c r="AP42" s="3"/>
      <c r="AQ42" s="3"/>
      <c r="AR42" s="3"/>
      <c r="AS42" s="3">
        <f>AR43-AR41</f>
        <v>100</v>
      </c>
      <c r="AT42" s="4"/>
      <c r="AU42" s="3">
        <f>AV41-AV43</f>
        <v>-50</v>
      </c>
      <c r="AV42" s="3"/>
      <c r="AW42" s="3"/>
      <c r="AX42" s="3"/>
      <c r="AY42" s="3"/>
      <c r="AZ42" s="5"/>
      <c r="BA42" s="2"/>
      <c r="BB42" s="3"/>
      <c r="BC42" s="2"/>
      <c r="BD42" s="3"/>
      <c r="BE42" s="3"/>
      <c r="BF42" s="3"/>
      <c r="BG42" s="3">
        <f>BF43-BF41</f>
        <v>100</v>
      </c>
      <c r="BH42" s="4"/>
      <c r="BI42" s="3">
        <f>BJ41-BJ43</f>
        <v>0</v>
      </c>
      <c r="BJ42" s="3"/>
      <c r="BK42" s="3"/>
      <c r="BL42" s="3"/>
      <c r="BM42" s="3"/>
      <c r="BN42" s="5"/>
    </row>
    <row r="43" spans="2:67" x14ac:dyDescent="0.25">
      <c r="AA43" s="6"/>
      <c r="AB43" s="7"/>
      <c r="AC43" s="7"/>
      <c r="AD43" s="7">
        <f>SUM(AC48:AE48)</f>
        <v>1250</v>
      </c>
      <c r="AE43" s="12" t="s">
        <v>10</v>
      </c>
      <c r="AF43" s="8"/>
      <c r="AG43" s="12" t="s">
        <v>12</v>
      </c>
      <c r="AH43" s="7">
        <f>SUM(AD51,AH52,AH47)</f>
        <v>1350</v>
      </c>
      <c r="AI43" s="7"/>
      <c r="AJ43" s="7"/>
      <c r="AK43" s="7"/>
      <c r="AL43" s="10"/>
      <c r="AM43" s="6"/>
      <c r="AN43" s="7"/>
      <c r="AO43" s="6"/>
      <c r="AP43" s="7"/>
      <c r="AQ43" s="7"/>
      <c r="AR43" s="7">
        <f>SUM(AQ48:AS48)</f>
        <v>1150</v>
      </c>
      <c r="AS43" s="12" t="s">
        <v>10</v>
      </c>
      <c r="AT43" s="8"/>
      <c r="AU43" s="12" t="s">
        <v>12</v>
      </c>
      <c r="AV43" s="7">
        <f>SUM(AR51,AV52,AV47)</f>
        <v>1100</v>
      </c>
      <c r="AW43" s="7"/>
      <c r="AX43" s="7"/>
      <c r="AY43" s="7"/>
      <c r="AZ43" s="10"/>
      <c r="BA43" s="6"/>
      <c r="BB43" s="7"/>
      <c r="BC43" s="6"/>
      <c r="BD43" s="7"/>
      <c r="BE43" s="7"/>
      <c r="BF43" s="7">
        <f>SUM(BE48:BG48)</f>
        <v>1400</v>
      </c>
      <c r="BG43" s="12" t="s">
        <v>10</v>
      </c>
      <c r="BH43" s="8"/>
      <c r="BI43" s="12" t="s">
        <v>12</v>
      </c>
      <c r="BJ43" s="7">
        <f>SUM(BF51,BJ52,BJ47)</f>
        <v>1500</v>
      </c>
      <c r="BK43" s="7"/>
      <c r="BL43" s="7"/>
      <c r="BM43" s="7"/>
      <c r="BN43" s="10"/>
    </row>
    <row r="44" spans="2:67" x14ac:dyDescent="0.25">
      <c r="C44" s="2"/>
      <c r="D44" s="3"/>
      <c r="E44" s="3"/>
      <c r="F44" s="3"/>
      <c r="G44" s="3">
        <f>F45-F43</f>
        <v>150</v>
      </c>
      <c r="H44" s="14">
        <v>226</v>
      </c>
      <c r="I44" s="3"/>
      <c r="J44" s="3"/>
      <c r="K44" s="3"/>
      <c r="L44" s="3"/>
      <c r="M44" s="3"/>
      <c r="N44" s="5"/>
      <c r="O44" s="2"/>
      <c r="P44" s="3"/>
      <c r="Q44" s="3"/>
      <c r="R44" s="3"/>
      <c r="S44" s="3"/>
      <c r="T44" s="14">
        <v>111</v>
      </c>
      <c r="U44" s="3">
        <f>V43-V45</f>
        <v>-550</v>
      </c>
      <c r="V44" s="3"/>
      <c r="W44" s="3"/>
      <c r="X44" s="3"/>
      <c r="Y44" s="3"/>
      <c r="Z44" s="5"/>
      <c r="AA44" s="6"/>
      <c r="AB44" s="7"/>
      <c r="AC44" s="7"/>
      <c r="AD44" s="7"/>
      <c r="AE44" s="12"/>
      <c r="AF44" s="8"/>
      <c r="AG44" s="12"/>
      <c r="AH44" s="7"/>
      <c r="AI44" s="7"/>
      <c r="AJ44" s="7"/>
      <c r="AK44" s="7"/>
      <c r="AL44" s="10"/>
      <c r="AM44" s="6"/>
      <c r="AN44" s="7"/>
      <c r="AO44" s="6"/>
      <c r="AP44" s="7"/>
      <c r="AQ44" s="7"/>
      <c r="AR44" s="7"/>
      <c r="AS44" s="12"/>
      <c r="AT44" s="8"/>
      <c r="AU44" s="12"/>
      <c r="AV44" s="7"/>
      <c r="AW44" s="7"/>
      <c r="AX44" s="7"/>
      <c r="AY44" s="7"/>
      <c r="AZ44" s="10"/>
      <c r="BA44" s="6"/>
      <c r="BB44" s="7"/>
      <c r="BC44" s="6"/>
      <c r="BD44" s="7"/>
      <c r="BE44" s="7"/>
      <c r="BF44" s="7"/>
      <c r="BG44" s="12"/>
      <c r="BH44" s="8"/>
      <c r="BI44" s="12"/>
      <c r="BJ44" s="7"/>
      <c r="BK44" s="7"/>
      <c r="BL44" s="7"/>
      <c r="BM44" s="7"/>
      <c r="BN44" s="10"/>
    </row>
    <row r="45" spans="2:67" x14ac:dyDescent="0.25">
      <c r="C45" s="6"/>
      <c r="D45" s="7"/>
      <c r="E45" s="7"/>
      <c r="F45" s="7">
        <f>SUM(F48:G48)</f>
        <v>150</v>
      </c>
      <c r="G45" s="12" t="s">
        <v>10</v>
      </c>
      <c r="H45" s="23" t="s">
        <v>20</v>
      </c>
      <c r="I45" s="12"/>
      <c r="J45" s="7"/>
      <c r="K45" s="7"/>
      <c r="L45" s="7"/>
      <c r="M45" s="7"/>
      <c r="N45" s="10"/>
      <c r="O45" s="6"/>
      <c r="P45" s="7"/>
      <c r="Q45" s="7"/>
      <c r="R45" s="7"/>
      <c r="S45" s="12"/>
      <c r="T45" s="23" t="s">
        <v>19</v>
      </c>
      <c r="U45" s="12" t="s">
        <v>12</v>
      </c>
      <c r="V45" s="7">
        <f>SUM(R51,V48)</f>
        <v>550</v>
      </c>
      <c r="W45" s="7"/>
      <c r="X45" s="7"/>
      <c r="Y45" s="7"/>
      <c r="Z45" s="10"/>
      <c r="AA45" s="6"/>
      <c r="AB45" s="7"/>
      <c r="AC45" s="7"/>
      <c r="AD45" s="7"/>
      <c r="AE45" s="12"/>
      <c r="AF45" s="8"/>
      <c r="AG45" s="12"/>
      <c r="AH45" s="7"/>
      <c r="AI45" s="7"/>
      <c r="AJ45" s="7"/>
      <c r="AK45" s="7"/>
      <c r="AL45" s="10"/>
      <c r="AM45" s="6"/>
      <c r="AN45" s="7"/>
      <c r="AO45" s="6"/>
      <c r="AP45" s="7"/>
      <c r="AQ45" s="7"/>
      <c r="AR45" s="7"/>
      <c r="AS45" s="12"/>
      <c r="AT45" s="8"/>
      <c r="AU45" s="12"/>
      <c r="AV45" s="7"/>
      <c r="AW45" s="7"/>
      <c r="AX45" s="7"/>
      <c r="AY45" s="7"/>
      <c r="AZ45" s="10"/>
      <c r="BA45" s="6"/>
      <c r="BB45" s="7"/>
      <c r="BC45" s="6"/>
      <c r="BD45" s="7"/>
      <c r="BE45" s="7"/>
      <c r="BF45" s="7"/>
      <c r="BG45" s="12"/>
      <c r="BH45" s="8"/>
      <c r="BI45" s="12"/>
      <c r="BJ45" s="7"/>
      <c r="BK45" s="7"/>
      <c r="BL45" s="7"/>
      <c r="BM45" s="7"/>
      <c r="BN45" s="10"/>
    </row>
    <row r="46" spans="2:67" x14ac:dyDescent="0.25">
      <c r="C46" s="6"/>
      <c r="D46" s="7"/>
      <c r="E46" s="7"/>
      <c r="F46" s="7"/>
      <c r="G46" s="27">
        <v>180</v>
      </c>
      <c r="H46" s="23" t="s">
        <v>20</v>
      </c>
      <c r="I46" s="7"/>
      <c r="J46" s="7"/>
      <c r="K46" s="7"/>
      <c r="L46" s="7"/>
      <c r="M46" s="7"/>
      <c r="N46" s="10"/>
      <c r="O46" s="6"/>
      <c r="P46" s="7"/>
      <c r="Q46" s="7"/>
      <c r="R46" s="7"/>
      <c r="S46" s="7"/>
      <c r="T46" s="23" t="s">
        <v>19</v>
      </c>
      <c r="U46" s="27">
        <v>410</v>
      </c>
      <c r="V46" s="7"/>
      <c r="W46" s="7"/>
      <c r="X46" s="7"/>
      <c r="Y46" s="7"/>
      <c r="Z46" s="10"/>
      <c r="AA46" s="6"/>
      <c r="AB46" s="7"/>
      <c r="AC46" s="7"/>
      <c r="AD46" s="7"/>
      <c r="AE46" s="7"/>
      <c r="AF46" s="8"/>
      <c r="AG46" s="7"/>
      <c r="AH46" s="7"/>
      <c r="AI46" s="7"/>
      <c r="AJ46" s="7"/>
      <c r="AK46" s="7"/>
      <c r="AL46" s="10"/>
      <c r="AM46" s="6"/>
      <c r="AN46" s="7"/>
      <c r="AO46" s="6"/>
      <c r="AP46" s="7"/>
      <c r="AQ46" s="7"/>
      <c r="AR46" s="7"/>
      <c r="AS46" s="7"/>
      <c r="AT46" s="8"/>
      <c r="AU46" s="7"/>
      <c r="AV46" s="7"/>
      <c r="AW46" s="7"/>
      <c r="AX46" s="7"/>
      <c r="AY46" s="7"/>
      <c r="AZ46" s="10"/>
      <c r="BA46" s="6"/>
      <c r="BB46" s="7"/>
      <c r="BC46" s="6"/>
      <c r="BD46" s="7"/>
      <c r="BE46" s="7"/>
      <c r="BF46" s="7"/>
      <c r="BG46" s="7"/>
      <c r="BH46" s="8"/>
      <c r="BI46" s="7"/>
      <c r="BJ46" s="7"/>
      <c r="BK46" s="7"/>
      <c r="BL46" s="7"/>
      <c r="BM46" s="7"/>
      <c r="BN46" s="10"/>
    </row>
    <row r="47" spans="2:67" x14ac:dyDescent="0.25">
      <c r="C47" s="6"/>
      <c r="D47" s="7"/>
      <c r="E47" s="7"/>
      <c r="F47" s="7"/>
      <c r="G47" s="7"/>
      <c r="H47" s="23" t="s">
        <v>20</v>
      </c>
      <c r="I47" s="9"/>
      <c r="J47" s="7"/>
      <c r="K47" s="7"/>
      <c r="L47" s="7"/>
      <c r="M47" s="7"/>
      <c r="N47" s="10"/>
      <c r="O47" s="6"/>
      <c r="P47" s="7"/>
      <c r="Q47" s="7"/>
      <c r="R47" s="7"/>
      <c r="S47" s="7"/>
      <c r="T47" s="23" t="s">
        <v>19</v>
      </c>
      <c r="W47" s="7"/>
      <c r="X47" s="7"/>
      <c r="Y47" s="7"/>
      <c r="Z47" s="10"/>
      <c r="AA47" s="6"/>
      <c r="AB47" s="7"/>
      <c r="AC47" s="7"/>
      <c r="AD47" s="7"/>
      <c r="AE47" s="7"/>
      <c r="AF47" s="8"/>
      <c r="AG47" s="9" t="s">
        <v>14</v>
      </c>
      <c r="AH47" s="28">
        <v>100</v>
      </c>
      <c r="AI47" s="7"/>
      <c r="AJ47" s="7"/>
      <c r="AK47" s="7"/>
      <c r="AL47" s="10"/>
      <c r="AM47" s="6"/>
      <c r="AN47" s="7"/>
      <c r="AO47" s="6"/>
      <c r="AP47" s="7"/>
      <c r="AQ47" s="7"/>
      <c r="AR47" s="7"/>
      <c r="AS47" s="7"/>
      <c r="AT47" s="8"/>
      <c r="AU47" s="9" t="s">
        <v>14</v>
      </c>
      <c r="AV47" s="28">
        <v>200</v>
      </c>
      <c r="AW47" s="7"/>
      <c r="AX47" s="7"/>
      <c r="AY47" s="7"/>
      <c r="AZ47" s="10"/>
      <c r="BA47" s="6"/>
      <c r="BB47" s="7"/>
      <c r="BC47" s="6"/>
      <c r="BD47" s="7"/>
      <c r="BE47" s="7"/>
      <c r="BF47" s="7"/>
      <c r="BG47" s="7"/>
      <c r="BH47" s="8"/>
      <c r="BI47" s="9" t="s">
        <v>14</v>
      </c>
      <c r="BJ47" s="28">
        <v>250</v>
      </c>
      <c r="BK47" s="7"/>
      <c r="BL47" s="7"/>
      <c r="BM47" s="7"/>
      <c r="BN47" s="10"/>
    </row>
    <row r="48" spans="2:67" x14ac:dyDescent="0.25">
      <c r="C48" s="6">
        <f>SUM(I52,J48,F48)</f>
        <v>900</v>
      </c>
      <c r="D48" s="7"/>
      <c r="F48" s="26">
        <v>50</v>
      </c>
      <c r="G48" s="26">
        <v>100</v>
      </c>
      <c r="H48" s="23" t="s">
        <v>20</v>
      </c>
      <c r="I48" s="9" t="s">
        <v>15</v>
      </c>
      <c r="J48" s="28">
        <v>850</v>
      </c>
      <c r="K48" s="7"/>
      <c r="L48" s="7"/>
      <c r="M48" s="7">
        <f>SUM(J47:J49)</f>
        <v>1450</v>
      </c>
      <c r="N48" s="10"/>
      <c r="O48" s="6">
        <f>SUM(U52,V49,Q48)</f>
        <v>1350</v>
      </c>
      <c r="P48" s="7"/>
      <c r="Q48" s="11"/>
      <c r="R48" s="11"/>
      <c r="S48" s="11"/>
      <c r="T48" s="23" t="s">
        <v>19</v>
      </c>
      <c r="U48" s="9" t="s">
        <v>14</v>
      </c>
      <c r="V48" s="28">
        <v>250</v>
      </c>
      <c r="W48" s="7"/>
      <c r="X48" s="7"/>
      <c r="Y48" s="7">
        <f>SUM(V48:V49)</f>
        <v>1200</v>
      </c>
      <c r="Z48" s="10"/>
      <c r="AA48" s="6">
        <f>SUM(AG52,AH48,AC48)</f>
        <v>1400</v>
      </c>
      <c r="AB48" s="7"/>
      <c r="AC48" s="25">
        <v>100</v>
      </c>
      <c r="AD48" s="26">
        <v>1100</v>
      </c>
      <c r="AE48" s="26">
        <v>50</v>
      </c>
      <c r="AF48" s="8"/>
      <c r="AG48" s="9" t="s">
        <v>15</v>
      </c>
      <c r="AH48" s="25">
        <v>800</v>
      </c>
      <c r="AI48" s="7"/>
      <c r="AJ48" s="7"/>
      <c r="AK48" s="7">
        <f>SUM(AH47:AH49)</f>
        <v>1000</v>
      </c>
      <c r="AL48" s="10"/>
      <c r="AM48" s="6">
        <f>SUM(AU52,AV48,AQ48)</f>
        <v>1300</v>
      </c>
      <c r="AN48" s="7"/>
      <c r="AO48" s="6"/>
      <c r="AP48" s="7"/>
      <c r="AQ48" s="25">
        <v>100</v>
      </c>
      <c r="AR48" s="26">
        <v>1000</v>
      </c>
      <c r="AS48" s="26">
        <v>50</v>
      </c>
      <c r="AT48" s="8"/>
      <c r="AU48" s="9" t="s">
        <v>15</v>
      </c>
      <c r="AV48" s="25">
        <v>1100</v>
      </c>
      <c r="AW48" s="7"/>
      <c r="AX48" s="7"/>
      <c r="AY48" s="7">
        <f>SUM(AV47:AV49)</f>
        <v>1350</v>
      </c>
      <c r="AZ48" s="10"/>
      <c r="BA48" s="6">
        <f>SUM(BI52,BJ48,BE48)</f>
        <v>1200</v>
      </c>
      <c r="BB48" s="7"/>
      <c r="BC48" s="6"/>
      <c r="BD48" s="7"/>
      <c r="BE48" s="25">
        <v>150</v>
      </c>
      <c r="BF48" s="26">
        <v>1200</v>
      </c>
      <c r="BG48" s="26">
        <v>50</v>
      </c>
      <c r="BH48" s="8"/>
      <c r="BI48" s="9" t="s">
        <v>15</v>
      </c>
      <c r="BJ48" s="25">
        <v>800</v>
      </c>
      <c r="BK48" s="7"/>
      <c r="BL48" s="7"/>
      <c r="BM48" s="7">
        <f>SUM(BJ47:BJ49)</f>
        <v>1300</v>
      </c>
      <c r="BN48" s="10"/>
    </row>
    <row r="49" spans="2:67" x14ac:dyDescent="0.25">
      <c r="C49" s="21" t="s">
        <v>15</v>
      </c>
      <c r="D49" s="7"/>
      <c r="F49" s="12">
        <v>8</v>
      </c>
      <c r="G49" s="12">
        <v>9</v>
      </c>
      <c r="H49" s="23" t="s">
        <v>20</v>
      </c>
      <c r="I49" s="9" t="s">
        <v>16</v>
      </c>
      <c r="J49" s="28">
        <v>600</v>
      </c>
      <c r="K49" s="7"/>
      <c r="L49" s="7"/>
      <c r="M49" s="20" t="s">
        <v>15</v>
      </c>
      <c r="N49" s="10">
        <f>M48-O48</f>
        <v>100</v>
      </c>
      <c r="O49" s="21" t="s">
        <v>15</v>
      </c>
      <c r="P49" s="7"/>
      <c r="Q49" s="12"/>
      <c r="R49" s="12"/>
      <c r="S49" s="12"/>
      <c r="T49" s="23" t="s">
        <v>19</v>
      </c>
      <c r="U49" s="9" t="s">
        <v>15</v>
      </c>
      <c r="V49" s="25">
        <v>950</v>
      </c>
      <c r="W49" s="7"/>
      <c r="X49" s="7"/>
      <c r="Y49" s="20" t="s">
        <v>15</v>
      </c>
      <c r="Z49" s="10">
        <f>Y48-AA48</f>
        <v>-200</v>
      </c>
      <c r="AA49" s="21" t="s">
        <v>15</v>
      </c>
      <c r="AB49" s="7"/>
      <c r="AC49" s="12">
        <v>8</v>
      </c>
      <c r="AD49" s="12" t="s">
        <v>10</v>
      </c>
      <c r="AE49" s="12">
        <v>9</v>
      </c>
      <c r="AF49" s="8"/>
      <c r="AG49" s="9" t="s">
        <v>16</v>
      </c>
      <c r="AH49" s="25">
        <v>100</v>
      </c>
      <c r="AI49" s="7"/>
      <c r="AJ49" s="7"/>
      <c r="AK49" s="20" t="s">
        <v>15</v>
      </c>
      <c r="AL49" s="10">
        <f>AK48-AM48</f>
        <v>-300</v>
      </c>
      <c r="AM49" s="21" t="s">
        <v>15</v>
      </c>
      <c r="AN49" s="20"/>
      <c r="AO49" s="21"/>
      <c r="AP49" s="7"/>
      <c r="AQ49" s="12">
        <v>8</v>
      </c>
      <c r="AR49" s="12" t="s">
        <v>10</v>
      </c>
      <c r="AS49" s="12">
        <v>9</v>
      </c>
      <c r="AT49" s="8"/>
      <c r="AU49" s="9" t="s">
        <v>16</v>
      </c>
      <c r="AV49" s="25">
        <v>50</v>
      </c>
      <c r="AW49" s="7"/>
      <c r="AX49" s="7"/>
      <c r="AY49" s="20" t="s">
        <v>15</v>
      </c>
      <c r="AZ49" s="10">
        <f>AY48-BA48</f>
        <v>150</v>
      </c>
      <c r="BA49" s="21" t="s">
        <v>15</v>
      </c>
      <c r="BB49" s="20"/>
      <c r="BC49" s="21"/>
      <c r="BD49" s="7"/>
      <c r="BE49" s="12">
        <v>8</v>
      </c>
      <c r="BF49" s="12" t="s">
        <v>10</v>
      </c>
      <c r="BG49" s="12">
        <v>9</v>
      </c>
      <c r="BH49" s="8"/>
      <c r="BI49" s="9" t="s">
        <v>16</v>
      </c>
      <c r="BJ49" s="25">
        <v>250</v>
      </c>
      <c r="BK49" s="7"/>
      <c r="BL49" s="7"/>
      <c r="BM49" s="20" t="s">
        <v>15</v>
      </c>
      <c r="BN49" s="10">
        <f>BM48-BO48</f>
        <v>1300</v>
      </c>
    </row>
    <row r="50" spans="2:67" x14ac:dyDescent="0.25">
      <c r="B50" s="14">
        <v>503</v>
      </c>
      <c r="C50" s="13"/>
      <c r="D50" s="8"/>
      <c r="E50" s="8"/>
      <c r="F50" s="8"/>
      <c r="G50" s="8"/>
      <c r="H50" s="14">
        <v>227</v>
      </c>
      <c r="I50" s="8"/>
      <c r="J50" s="8"/>
      <c r="K50" s="8"/>
      <c r="L50" s="8"/>
      <c r="M50" s="8"/>
      <c r="N50" s="15"/>
      <c r="O50" s="13"/>
      <c r="P50" s="8"/>
      <c r="Q50" s="8"/>
      <c r="R50" s="8"/>
      <c r="S50" s="8"/>
      <c r="T50" s="14">
        <v>110</v>
      </c>
      <c r="U50" s="8"/>
      <c r="V50" s="8"/>
      <c r="W50" s="8"/>
      <c r="X50" s="8"/>
      <c r="Y50" s="8"/>
      <c r="Z50" s="15"/>
      <c r="AA50" s="13"/>
      <c r="AB50" s="8"/>
      <c r="AC50" s="8"/>
      <c r="AD50" s="8"/>
      <c r="AE50" s="8"/>
      <c r="AF50" s="14">
        <v>504</v>
      </c>
      <c r="AG50" s="8"/>
      <c r="AH50" s="8"/>
      <c r="AI50" s="8"/>
      <c r="AJ50" s="8"/>
      <c r="AK50" s="8"/>
      <c r="AL50" s="15"/>
      <c r="AM50" s="13"/>
      <c r="AN50" s="8"/>
      <c r="AO50" s="13"/>
      <c r="AP50" s="8"/>
      <c r="AQ50" s="8"/>
      <c r="AR50" s="8"/>
      <c r="AS50" s="8"/>
      <c r="AT50" s="14">
        <v>505</v>
      </c>
      <c r="AU50" s="8"/>
      <c r="AV50" s="8"/>
      <c r="AW50" s="8"/>
      <c r="AX50" s="8"/>
      <c r="AY50" s="8"/>
      <c r="AZ50" s="15"/>
      <c r="BA50" s="13"/>
      <c r="BB50" s="8"/>
      <c r="BC50" s="13"/>
      <c r="BD50" s="8"/>
      <c r="BE50" s="8"/>
      <c r="BF50" s="8"/>
      <c r="BG50" s="8"/>
      <c r="BH50" s="14">
        <v>506</v>
      </c>
      <c r="BI50" s="8"/>
      <c r="BJ50" s="8"/>
      <c r="BK50" s="8"/>
      <c r="BL50" s="8"/>
      <c r="BM50" s="8"/>
      <c r="BN50" s="15"/>
      <c r="BO50" s="14">
        <v>507</v>
      </c>
    </row>
    <row r="51" spans="2:67" x14ac:dyDescent="0.25">
      <c r="C51" s="21" t="s">
        <v>8</v>
      </c>
      <c r="D51" s="7"/>
      <c r="E51" s="7"/>
      <c r="F51" s="25">
        <v>1000</v>
      </c>
      <c r="G51" s="9" t="s">
        <v>8</v>
      </c>
      <c r="H51" s="23" t="s">
        <v>20</v>
      </c>
      <c r="I51" s="12"/>
      <c r="J51" s="12"/>
      <c r="K51" s="12"/>
      <c r="L51" s="7"/>
      <c r="M51" s="20" t="s">
        <v>8</v>
      </c>
      <c r="N51" s="10">
        <f>O52-M52</f>
        <v>-150</v>
      </c>
      <c r="O51" s="21" t="s">
        <v>8</v>
      </c>
      <c r="P51" s="7"/>
      <c r="Q51" s="7"/>
      <c r="R51" s="25">
        <v>300</v>
      </c>
      <c r="S51" s="9" t="s">
        <v>7</v>
      </c>
      <c r="T51" s="23" t="s">
        <v>19</v>
      </c>
      <c r="U51" s="12" t="s">
        <v>11</v>
      </c>
      <c r="V51" s="12" t="s">
        <v>13</v>
      </c>
      <c r="X51" s="7"/>
      <c r="Y51" s="20" t="s">
        <v>8</v>
      </c>
      <c r="Z51" s="10">
        <f>AA52-Y52</f>
        <v>50</v>
      </c>
      <c r="AA51" s="21" t="s">
        <v>8</v>
      </c>
      <c r="AB51" s="7"/>
      <c r="AC51" s="7"/>
      <c r="AD51" s="25">
        <v>250</v>
      </c>
      <c r="AE51" s="9" t="s">
        <v>7</v>
      </c>
      <c r="AF51" s="8"/>
      <c r="AG51" s="12" t="s">
        <v>11</v>
      </c>
      <c r="AH51" s="12" t="s">
        <v>12</v>
      </c>
      <c r="AI51" s="12" t="s">
        <v>13</v>
      </c>
      <c r="AJ51" s="7"/>
      <c r="AK51" s="20" t="s">
        <v>8</v>
      </c>
      <c r="AL51" s="10">
        <f>AM52-AK52</f>
        <v>250</v>
      </c>
      <c r="AM51" s="21" t="s">
        <v>8</v>
      </c>
      <c r="AN51" s="20"/>
      <c r="AO51" s="21"/>
      <c r="AP51" s="7"/>
      <c r="AQ51" s="7"/>
      <c r="AR51" s="25">
        <v>100</v>
      </c>
      <c r="AS51" s="9" t="s">
        <v>7</v>
      </c>
      <c r="AT51" s="8"/>
      <c r="AU51" s="12" t="s">
        <v>11</v>
      </c>
      <c r="AV51" s="12" t="s">
        <v>12</v>
      </c>
      <c r="AW51" s="12" t="s">
        <v>13</v>
      </c>
      <c r="AX51" s="7"/>
      <c r="AY51" s="20" t="s">
        <v>8</v>
      </c>
      <c r="AZ51" s="10">
        <f>BA52-AY52</f>
        <v>200</v>
      </c>
      <c r="BA51" s="21" t="s">
        <v>8</v>
      </c>
      <c r="BB51" s="20"/>
      <c r="BC51" s="21"/>
      <c r="BD51" s="7"/>
      <c r="BE51" s="7"/>
      <c r="BF51" s="25">
        <v>250</v>
      </c>
      <c r="BG51" s="9" t="s">
        <v>7</v>
      </c>
      <c r="BH51" s="8"/>
      <c r="BI51" s="12" t="s">
        <v>11</v>
      </c>
      <c r="BJ51" s="12" t="s">
        <v>12</v>
      </c>
      <c r="BK51" s="12" t="s">
        <v>13</v>
      </c>
      <c r="BL51" s="7"/>
      <c r="BM51" s="20" t="s">
        <v>8</v>
      </c>
      <c r="BN51" s="10">
        <f>BO52-BM52</f>
        <v>-1250</v>
      </c>
    </row>
    <row r="52" spans="2:67" x14ac:dyDescent="0.25">
      <c r="C52" s="6">
        <f>SUM(F51:F52)</f>
        <v>1200</v>
      </c>
      <c r="D52" s="7"/>
      <c r="E52" s="7"/>
      <c r="F52" s="25">
        <v>200</v>
      </c>
      <c r="G52" s="9" t="s">
        <v>9</v>
      </c>
      <c r="H52" s="23" t="s">
        <v>20</v>
      </c>
      <c r="I52" s="11"/>
      <c r="J52" s="11"/>
      <c r="K52" s="11"/>
      <c r="L52" s="7"/>
      <c r="M52" s="7">
        <f>SUM(G48,F51,K52)</f>
        <v>1100</v>
      </c>
      <c r="N52" s="10"/>
      <c r="O52" s="6">
        <f>SUM(R51:R53)</f>
        <v>950</v>
      </c>
      <c r="P52" s="7"/>
      <c r="Q52" s="7"/>
      <c r="R52" s="25">
        <v>650</v>
      </c>
      <c r="S52" s="9" t="s">
        <v>8</v>
      </c>
      <c r="T52" s="23" t="s">
        <v>19</v>
      </c>
      <c r="U52" s="25">
        <v>400</v>
      </c>
      <c r="V52" s="25">
        <v>450</v>
      </c>
      <c r="X52" s="7"/>
      <c r="Y52" s="7">
        <f>SUM(S48,R52,V52)</f>
        <v>1100</v>
      </c>
      <c r="Z52" s="10"/>
      <c r="AA52" s="6">
        <f>SUM(AD51:AD53)</f>
        <v>1150</v>
      </c>
      <c r="AB52" s="7"/>
      <c r="AC52" s="7"/>
      <c r="AD52" s="25">
        <v>800</v>
      </c>
      <c r="AE52" s="9" t="s">
        <v>8</v>
      </c>
      <c r="AF52" s="8"/>
      <c r="AG52" s="25">
        <v>500</v>
      </c>
      <c r="AH52" s="26">
        <v>1000</v>
      </c>
      <c r="AI52" s="26">
        <v>300</v>
      </c>
      <c r="AJ52" s="7"/>
      <c r="AK52" s="7">
        <f>SUM(AE48,AD52,AI52)</f>
        <v>1150</v>
      </c>
      <c r="AL52" s="10"/>
      <c r="AM52" s="6">
        <f>SUM(AR51:AR53)</f>
        <v>1400</v>
      </c>
      <c r="AN52" s="7"/>
      <c r="AO52" s="6"/>
      <c r="AP52" s="7"/>
      <c r="AQ52" s="7"/>
      <c r="AR52" s="25">
        <v>1000</v>
      </c>
      <c r="AS52" s="9" t="s">
        <v>8</v>
      </c>
      <c r="AT52" s="8"/>
      <c r="AU52" s="26">
        <v>100</v>
      </c>
      <c r="AV52" s="26">
        <v>800</v>
      </c>
      <c r="AW52" s="26">
        <v>150</v>
      </c>
      <c r="AX52" s="7"/>
      <c r="AY52" s="7">
        <f>SUM(AS48,AR52,AW52)</f>
        <v>1200</v>
      </c>
      <c r="AZ52" s="10"/>
      <c r="BA52" s="6">
        <f>SUM(BF51:BF53)</f>
        <v>1400</v>
      </c>
      <c r="BB52" s="7"/>
      <c r="BC52" s="6"/>
      <c r="BD52" s="7"/>
      <c r="BE52" s="7"/>
      <c r="BF52" s="25">
        <v>1000</v>
      </c>
      <c r="BG52" s="9" t="s">
        <v>8</v>
      </c>
      <c r="BH52" s="8"/>
      <c r="BI52" s="25">
        <v>250</v>
      </c>
      <c r="BJ52" s="26">
        <v>1000</v>
      </c>
      <c r="BK52" s="26">
        <v>200</v>
      </c>
      <c r="BL52" s="7"/>
      <c r="BM52" s="7">
        <f>SUM(BG48,BF52,BK52)</f>
        <v>1250</v>
      </c>
      <c r="BN52" s="10"/>
    </row>
    <row r="53" spans="2:67" x14ac:dyDescent="0.25">
      <c r="C53" s="6"/>
      <c r="D53" s="7"/>
      <c r="E53" s="7"/>
      <c r="H53" s="23" t="s">
        <v>20</v>
      </c>
      <c r="I53" s="7"/>
      <c r="J53" s="7"/>
      <c r="K53" s="7"/>
      <c r="L53" s="7"/>
      <c r="M53" s="7"/>
      <c r="N53" s="10"/>
      <c r="O53" s="6"/>
      <c r="P53" s="7"/>
      <c r="Q53" s="7"/>
      <c r="R53" s="7"/>
      <c r="S53" s="9"/>
      <c r="T53" s="23" t="s">
        <v>19</v>
      </c>
      <c r="U53" s="7"/>
      <c r="V53" s="7"/>
      <c r="W53" s="7"/>
      <c r="X53" s="7"/>
      <c r="Y53" s="7"/>
      <c r="Z53" s="10"/>
      <c r="AA53" s="6"/>
      <c r="AB53" s="7"/>
      <c r="AC53" s="7"/>
      <c r="AD53" s="25">
        <v>100</v>
      </c>
      <c r="AE53" s="9" t="s">
        <v>9</v>
      </c>
      <c r="AF53" s="8"/>
      <c r="AG53" s="7"/>
      <c r="AH53" s="7"/>
      <c r="AI53" s="7"/>
      <c r="AJ53" s="7"/>
      <c r="AK53" s="7"/>
      <c r="AL53" s="10"/>
      <c r="AM53" s="6"/>
      <c r="AN53" s="7"/>
      <c r="AO53" s="6"/>
      <c r="AP53" s="7"/>
      <c r="AQ53" s="7"/>
      <c r="AR53" s="25">
        <v>300</v>
      </c>
      <c r="AS53" s="9" t="s">
        <v>9</v>
      </c>
      <c r="AT53" s="8"/>
      <c r="AU53" s="7"/>
      <c r="AV53" s="7"/>
      <c r="AW53" s="7"/>
      <c r="AX53" s="7"/>
      <c r="AY53" s="7"/>
      <c r="AZ53" s="10"/>
      <c r="BA53" s="6"/>
      <c r="BB53" s="7"/>
      <c r="BC53" s="6"/>
      <c r="BD53" s="7"/>
      <c r="BE53" s="7"/>
      <c r="BF53" s="25">
        <v>150</v>
      </c>
      <c r="BG53" s="9" t="s">
        <v>9</v>
      </c>
      <c r="BH53" s="8"/>
      <c r="BI53" s="7"/>
      <c r="BJ53" s="7"/>
      <c r="BK53" s="7"/>
      <c r="BL53" s="7"/>
      <c r="BM53" s="7"/>
      <c r="BN53" s="10"/>
    </row>
    <row r="54" spans="2:67" x14ac:dyDescent="0.25">
      <c r="C54" s="6"/>
      <c r="D54" s="7"/>
      <c r="E54" s="7"/>
      <c r="F54" s="7"/>
      <c r="G54" s="27">
        <v>890</v>
      </c>
      <c r="H54" s="23" t="s">
        <v>20</v>
      </c>
      <c r="I54" s="7"/>
      <c r="J54" s="7"/>
      <c r="K54" s="7"/>
      <c r="L54" s="7"/>
      <c r="M54" s="7"/>
      <c r="N54" s="10"/>
      <c r="O54" s="6"/>
      <c r="P54" s="7"/>
      <c r="Q54" s="7"/>
      <c r="R54" s="7"/>
      <c r="S54" s="7"/>
      <c r="T54" s="23" t="s">
        <v>19</v>
      </c>
      <c r="U54" s="27">
        <v>890</v>
      </c>
      <c r="V54" s="7"/>
      <c r="W54" s="7"/>
      <c r="X54" s="7"/>
      <c r="Y54" s="7"/>
      <c r="Z54" s="10"/>
      <c r="AA54" s="6"/>
      <c r="AB54" s="7"/>
      <c r="AC54" s="7"/>
      <c r="AD54" s="7"/>
      <c r="AE54" s="7"/>
      <c r="AF54" s="8"/>
      <c r="AG54" s="7"/>
      <c r="AH54" s="7"/>
      <c r="AI54" s="7"/>
      <c r="AJ54" s="7"/>
      <c r="AK54" s="7"/>
      <c r="AL54" s="10"/>
      <c r="AM54" s="6"/>
      <c r="AN54" s="7"/>
      <c r="AO54" s="6"/>
      <c r="AP54" s="7"/>
      <c r="AQ54" s="7"/>
      <c r="AR54" s="7"/>
      <c r="AS54" s="7"/>
      <c r="AT54" s="8"/>
      <c r="AU54" s="7"/>
      <c r="AV54" s="7"/>
      <c r="AW54" s="7"/>
      <c r="AX54" s="7"/>
      <c r="AY54" s="7"/>
      <c r="AZ54" s="10"/>
      <c r="BA54" s="6"/>
      <c r="BB54" s="7"/>
      <c r="BC54" s="6"/>
      <c r="BD54" s="7"/>
      <c r="BE54" s="7"/>
      <c r="BF54" s="7"/>
      <c r="BG54" s="7"/>
      <c r="BH54" s="8"/>
      <c r="BI54" s="7"/>
      <c r="BJ54" s="7"/>
      <c r="BK54" s="7"/>
      <c r="BL54" s="7"/>
      <c r="BM54" s="7"/>
      <c r="BN54" s="10"/>
    </row>
    <row r="55" spans="2:67" x14ac:dyDescent="0.25">
      <c r="C55" s="16"/>
      <c r="D55" s="17"/>
      <c r="E55" s="17"/>
      <c r="F55" s="17">
        <f>SUM(J49,F52)</f>
        <v>800</v>
      </c>
      <c r="G55" s="22" t="s">
        <v>10</v>
      </c>
      <c r="H55" s="14">
        <v>228</v>
      </c>
      <c r="I55" s="22"/>
      <c r="J55" s="17"/>
      <c r="K55" s="17"/>
      <c r="L55" s="17"/>
      <c r="M55" s="17"/>
      <c r="N55" s="19"/>
      <c r="O55" s="16"/>
      <c r="P55" s="17"/>
      <c r="Q55" s="17"/>
      <c r="R55" s="17"/>
      <c r="S55" s="22"/>
      <c r="T55" s="14">
        <v>109</v>
      </c>
      <c r="U55" s="22" t="s">
        <v>12</v>
      </c>
      <c r="V55" s="17">
        <f>SUM(U52:V52)</f>
        <v>850</v>
      </c>
      <c r="W55" s="17"/>
      <c r="X55" s="17"/>
      <c r="Y55" s="17"/>
      <c r="Z55" s="19"/>
      <c r="AA55" s="16"/>
      <c r="AB55" s="17"/>
      <c r="AC55" s="17"/>
      <c r="AD55" s="17">
        <f>SUM(AH49,AD48,AD53)</f>
        <v>1300</v>
      </c>
      <c r="AE55" s="22" t="s">
        <v>10</v>
      </c>
      <c r="AF55" s="18"/>
      <c r="AG55" s="22" t="s">
        <v>12</v>
      </c>
      <c r="AH55" s="17">
        <f>SUM(AG52:AI52)</f>
        <v>1800</v>
      </c>
      <c r="AI55" s="17"/>
      <c r="AJ55" s="17"/>
      <c r="AK55" s="17"/>
      <c r="AL55" s="19"/>
      <c r="AM55" s="16"/>
      <c r="AN55" s="17"/>
      <c r="AO55" s="16"/>
      <c r="AP55" s="17"/>
      <c r="AQ55" s="17"/>
      <c r="AR55" s="17">
        <f>SUM(AV49,AR48,AR53)</f>
        <v>1350</v>
      </c>
      <c r="AS55" s="22" t="s">
        <v>10</v>
      </c>
      <c r="AT55" s="18"/>
      <c r="AU55" s="22" t="s">
        <v>12</v>
      </c>
      <c r="AV55" s="17">
        <f>SUM(AU52:AW52)</f>
        <v>1050</v>
      </c>
      <c r="AW55" s="17"/>
      <c r="AX55" s="17"/>
      <c r="AY55" s="17"/>
      <c r="AZ55" s="19"/>
      <c r="BA55" s="16"/>
      <c r="BB55" s="17"/>
      <c r="BC55" s="16"/>
      <c r="BD55" s="17"/>
      <c r="BE55" s="17"/>
      <c r="BF55" s="17">
        <f>SUM(BJ49,BF48,BF53)</f>
        <v>1600</v>
      </c>
      <c r="BG55" s="22" t="s">
        <v>10</v>
      </c>
      <c r="BH55" s="18"/>
      <c r="BI55" s="22" t="s">
        <v>12</v>
      </c>
      <c r="BJ55" s="17">
        <f>SUM(BI52:BK52)</f>
        <v>1450</v>
      </c>
      <c r="BK55" s="17"/>
      <c r="BL55" s="17"/>
      <c r="BM55" s="17"/>
      <c r="BN55" s="19"/>
    </row>
    <row r="56" spans="2:67" x14ac:dyDescent="0.25">
      <c r="AF56" s="14">
        <v>500</v>
      </c>
      <c r="AT56" s="14">
        <v>501</v>
      </c>
      <c r="BH56" s="14">
        <v>502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C5:M351"/>
  <sheetViews>
    <sheetView workbookViewId="0">
      <selection activeCell="C6" sqref="C6:F351"/>
    </sheetView>
  </sheetViews>
  <sheetFormatPr defaultRowHeight="15" x14ac:dyDescent="0.25"/>
  <cols>
    <col min="3" max="3" width="9.7109375" customWidth="1"/>
    <col min="4" max="4" width="9.85546875" customWidth="1"/>
    <col min="5" max="5" width="9.5703125" customWidth="1"/>
    <col min="6" max="6" width="9.85546875" style="32" customWidth="1"/>
    <col min="7" max="7" width="12" bestFit="1" customWidth="1"/>
    <col min="10" max="10" width="34" bestFit="1" customWidth="1"/>
    <col min="11" max="11" width="9.140625" customWidth="1"/>
    <col min="14" max="14" width="13.7109375" customWidth="1"/>
  </cols>
  <sheetData>
    <row r="5" spans="3:13" x14ac:dyDescent="0.25">
      <c r="C5" t="s">
        <v>24</v>
      </c>
      <c r="D5" t="s">
        <v>1</v>
      </c>
      <c r="E5" t="s">
        <v>2</v>
      </c>
      <c r="F5" s="32" t="s">
        <v>3</v>
      </c>
      <c r="G5" t="s">
        <v>21</v>
      </c>
      <c r="H5" t="s">
        <v>6</v>
      </c>
      <c r="J5" t="s">
        <v>0</v>
      </c>
      <c r="K5" t="s">
        <v>1</v>
      </c>
      <c r="L5" t="s">
        <v>2</v>
      </c>
      <c r="M5" t="s">
        <v>3</v>
      </c>
    </row>
    <row r="6" spans="3:13" x14ac:dyDescent="0.25">
      <c r="C6">
        <v>300</v>
      </c>
      <c r="D6">
        <v>301</v>
      </c>
      <c r="E6">
        <v>302</v>
      </c>
      <c r="F6">
        <v>9.9999999999999898E-3</v>
      </c>
      <c r="G6" t="str">
        <f>exported_results[[#This Row],[a_node,b_node,c_node,asn_vol]]&amp;"_"&amp;exported_results[[#This Row],[b_node]]&amp;"_"&amp;exported_results[[#This Row],[c_node]]</f>
        <v>300_301_302</v>
      </c>
      <c r="H6" t="b">
        <f>exported_results[[#This Row],[a_node,b_node,c_node,asn_vol]]=exported_results[[#This Row],[c_node]]</f>
        <v>0</v>
      </c>
      <c r="J6">
        <v>300</v>
      </c>
      <c r="K6">
        <v>301</v>
      </c>
      <c r="L6">
        <v>302</v>
      </c>
      <c r="M6">
        <v>9.9999999999999898E-3</v>
      </c>
    </row>
    <row r="7" spans="3:13" x14ac:dyDescent="0.25">
      <c r="C7">
        <v>300</v>
      </c>
      <c r="D7">
        <v>301</v>
      </c>
      <c r="E7">
        <v>304</v>
      </c>
      <c r="F7">
        <v>9.9999999999999898E-3</v>
      </c>
      <c r="G7" t="str">
        <f>exported_results[[#This Row],[a_node,b_node,c_node,asn_vol]]&amp;"_"&amp;exported_results[[#This Row],[b_node]]&amp;"_"&amp;exported_results[[#This Row],[c_node]]</f>
        <v>300_301_304</v>
      </c>
      <c r="H7" t="b">
        <f>exported_results[[#This Row],[a_node,b_node,c_node,asn_vol]]=exported_results[[#This Row],[c_node]]</f>
        <v>0</v>
      </c>
      <c r="J7">
        <v>300</v>
      </c>
      <c r="K7">
        <v>301</v>
      </c>
      <c r="L7">
        <v>304</v>
      </c>
      <c r="M7">
        <v>9.9999999999999898E-3</v>
      </c>
    </row>
    <row r="8" spans="3:13" x14ac:dyDescent="0.25">
      <c r="C8">
        <v>301</v>
      </c>
      <c r="D8">
        <v>304</v>
      </c>
      <c r="E8">
        <v>305</v>
      </c>
      <c r="F8">
        <v>9.9999999999999898E-3</v>
      </c>
      <c r="G8" t="str">
        <f>exported_results[[#This Row],[a_node,b_node,c_node,asn_vol]]&amp;"_"&amp;exported_results[[#This Row],[b_node]]&amp;"_"&amp;exported_results[[#This Row],[c_node]]</f>
        <v>301_304_305</v>
      </c>
      <c r="H8" t="b">
        <f>exported_results[[#This Row],[a_node,b_node,c_node,asn_vol]]=exported_results[[#This Row],[c_node]]</f>
        <v>0</v>
      </c>
      <c r="J8">
        <v>301</v>
      </c>
      <c r="K8">
        <v>304</v>
      </c>
      <c r="L8">
        <v>305</v>
      </c>
      <c r="M8">
        <v>9.9999999999999898E-3</v>
      </c>
    </row>
    <row r="9" spans="3:13" x14ac:dyDescent="0.25">
      <c r="C9">
        <v>511</v>
      </c>
      <c r="D9">
        <v>326</v>
      </c>
      <c r="E9">
        <v>327</v>
      </c>
      <c r="F9">
        <v>42.5</v>
      </c>
      <c r="G9" t="str">
        <f>exported_results[[#This Row],[a_node,b_node,c_node,asn_vol]]&amp;"_"&amp;exported_results[[#This Row],[b_node]]&amp;"_"&amp;exported_results[[#This Row],[c_node]]</f>
        <v>511_326_327</v>
      </c>
      <c r="H9" t="b">
        <f>exported_results[[#This Row],[a_node,b_node,c_node,asn_vol]]=exported_results[[#This Row],[c_node]]</f>
        <v>0</v>
      </c>
      <c r="J9">
        <v>511</v>
      </c>
      <c r="K9">
        <v>326</v>
      </c>
      <c r="L9">
        <v>327</v>
      </c>
      <c r="M9">
        <v>42.5</v>
      </c>
    </row>
    <row r="10" spans="3:13" x14ac:dyDescent="0.25">
      <c r="C10" s="33">
        <v>511</v>
      </c>
      <c r="D10">
        <v>326</v>
      </c>
      <c r="E10">
        <v>402</v>
      </c>
      <c r="F10">
        <v>1208.96109203124</v>
      </c>
      <c r="G10" t="str">
        <f>exported_results[[#This Row],[a_node,b_node,c_node,asn_vol]]&amp;"_"&amp;exported_results[[#This Row],[b_node]]&amp;"_"&amp;exported_results[[#This Row],[c_node]]</f>
        <v>511_326_402</v>
      </c>
      <c r="H10" t="b">
        <f>exported_results[[#This Row],[a_node,b_node,c_node,asn_vol]]=exported_results[[#This Row],[c_node]]</f>
        <v>0</v>
      </c>
      <c r="J10" s="33">
        <v>511</v>
      </c>
      <c r="K10">
        <v>326</v>
      </c>
      <c r="L10">
        <v>402</v>
      </c>
      <c r="M10">
        <v>1208.96109203124</v>
      </c>
    </row>
    <row r="11" spans="3:13" x14ac:dyDescent="0.25">
      <c r="C11">
        <v>511</v>
      </c>
      <c r="D11">
        <v>326</v>
      </c>
      <c r="E11">
        <v>511</v>
      </c>
      <c r="F11">
        <v>9.9998863960148992E-3</v>
      </c>
      <c r="G11" t="str">
        <f>exported_results[[#This Row],[a_node,b_node,c_node,asn_vol]]&amp;"_"&amp;exported_results[[#This Row],[b_node]]&amp;"_"&amp;exported_results[[#This Row],[c_node]]</f>
        <v>511_326_511</v>
      </c>
      <c r="H11" t="b">
        <f>exported_results[[#This Row],[a_node,b_node,c_node,asn_vol]]=exported_results[[#This Row],[c_node]]</f>
        <v>1</v>
      </c>
      <c r="J11">
        <v>511</v>
      </c>
      <c r="K11">
        <v>326</v>
      </c>
      <c r="L11">
        <v>511</v>
      </c>
      <c r="M11">
        <v>9.9998863960148992E-3</v>
      </c>
    </row>
    <row r="12" spans="3:13" x14ac:dyDescent="0.25">
      <c r="C12">
        <v>511</v>
      </c>
      <c r="D12">
        <v>506</v>
      </c>
      <c r="E12">
        <v>511</v>
      </c>
      <c r="F12" s="29">
        <v>4.8409727362911097E-7</v>
      </c>
      <c r="G12" t="str">
        <f>exported_results[[#This Row],[a_node,b_node,c_node,asn_vol]]&amp;"_"&amp;exported_results[[#This Row],[b_node]]&amp;"_"&amp;exported_results[[#This Row],[c_node]]</f>
        <v>511_506_511</v>
      </c>
      <c r="H12" t="b">
        <f>exported_results[[#This Row],[a_node,b_node,c_node,asn_vol]]=exported_results[[#This Row],[c_node]]</f>
        <v>1</v>
      </c>
      <c r="J12">
        <v>511</v>
      </c>
      <c r="K12">
        <v>506</v>
      </c>
      <c r="L12">
        <v>511</v>
      </c>
      <c r="M12" s="29">
        <v>4.8409727362911097E-7</v>
      </c>
    </row>
    <row r="13" spans="3:13" x14ac:dyDescent="0.25">
      <c r="C13" s="33">
        <v>511</v>
      </c>
      <c r="D13">
        <v>506</v>
      </c>
      <c r="E13">
        <v>502</v>
      </c>
      <c r="F13">
        <v>1154.9565618305901</v>
      </c>
      <c r="G13" t="str">
        <f>exported_results[[#This Row],[a_node,b_node,c_node,asn_vol]]&amp;"_"&amp;exported_results[[#This Row],[b_node]]&amp;"_"&amp;exported_results[[#This Row],[c_node]]</f>
        <v>511_506_502</v>
      </c>
      <c r="H13" t="b">
        <f>exported_results[[#This Row],[a_node,b_node,c_node,asn_vol]]=exported_results[[#This Row],[c_node]]</f>
        <v>0</v>
      </c>
      <c r="J13" s="33">
        <v>511</v>
      </c>
      <c r="K13">
        <v>506</v>
      </c>
      <c r="L13">
        <v>502</v>
      </c>
      <c r="M13">
        <v>1154.9565618305901</v>
      </c>
    </row>
    <row r="14" spans="3:13" x14ac:dyDescent="0.25">
      <c r="C14" s="33">
        <v>511</v>
      </c>
      <c r="D14">
        <v>506</v>
      </c>
      <c r="E14">
        <v>505</v>
      </c>
      <c r="F14">
        <v>131.25881228769799</v>
      </c>
      <c r="G14" t="str">
        <f>exported_results[[#This Row],[a_node,b_node,c_node,asn_vol]]&amp;"_"&amp;exported_results[[#This Row],[b_node]]&amp;"_"&amp;exported_results[[#This Row],[c_node]]</f>
        <v>511_506_505</v>
      </c>
      <c r="H14" t="b">
        <f>exported_results[[#This Row],[a_node,b_node,c_node,asn_vol]]=exported_results[[#This Row],[c_node]]</f>
        <v>0</v>
      </c>
      <c r="J14" s="33">
        <v>511</v>
      </c>
      <c r="K14">
        <v>506</v>
      </c>
      <c r="L14">
        <v>505</v>
      </c>
      <c r="M14">
        <v>131.25881228769799</v>
      </c>
    </row>
    <row r="15" spans="3:13" x14ac:dyDescent="0.25">
      <c r="C15">
        <v>511</v>
      </c>
      <c r="D15">
        <v>506</v>
      </c>
      <c r="E15">
        <v>507</v>
      </c>
      <c r="F15">
        <v>42.547657161202103</v>
      </c>
      <c r="G15" t="str">
        <f>exported_results[[#This Row],[a_node,b_node,c_node,asn_vol]]&amp;"_"&amp;exported_results[[#This Row],[b_node]]&amp;"_"&amp;exported_results[[#This Row],[c_node]]</f>
        <v>511_506_507</v>
      </c>
      <c r="H15" t="b">
        <f>exported_results[[#This Row],[a_node,b_node,c_node,asn_vol]]=exported_results[[#This Row],[c_node]]</f>
        <v>0</v>
      </c>
      <c r="J15">
        <v>511</v>
      </c>
      <c r="K15">
        <v>506</v>
      </c>
      <c r="L15">
        <v>507</v>
      </c>
      <c r="M15">
        <v>42.547657161202103</v>
      </c>
    </row>
    <row r="16" spans="3:13" x14ac:dyDescent="0.25">
      <c r="C16">
        <v>511</v>
      </c>
      <c r="D16">
        <v>510</v>
      </c>
      <c r="E16">
        <v>323</v>
      </c>
      <c r="F16">
        <v>85</v>
      </c>
      <c r="G16" t="str">
        <f>exported_results[[#This Row],[a_node,b_node,c_node,asn_vol]]&amp;"_"&amp;exported_results[[#This Row],[b_node]]&amp;"_"&amp;exported_results[[#This Row],[c_node]]</f>
        <v>511_510_323</v>
      </c>
      <c r="H16" t="b">
        <f>exported_results[[#This Row],[a_node,b_node,c_node,asn_vol]]=exported_results[[#This Row],[c_node]]</f>
        <v>0</v>
      </c>
      <c r="J16">
        <v>511</v>
      </c>
      <c r="K16">
        <v>510</v>
      </c>
      <c r="L16">
        <v>323</v>
      </c>
      <c r="M16">
        <v>85</v>
      </c>
    </row>
    <row r="17" spans="3:13" x14ac:dyDescent="0.25">
      <c r="C17" s="33">
        <v>511</v>
      </c>
      <c r="D17">
        <v>510</v>
      </c>
      <c r="E17">
        <v>505</v>
      </c>
      <c r="F17">
        <v>172.49999999999901</v>
      </c>
      <c r="G17" t="str">
        <f>exported_results[[#This Row],[a_node,b_node,c_node,asn_vol]]&amp;"_"&amp;exported_results[[#This Row],[b_node]]&amp;"_"&amp;exported_results[[#This Row],[c_node]]</f>
        <v>511_510_505</v>
      </c>
      <c r="H17" t="b">
        <f>exported_results[[#This Row],[a_node,b_node,c_node,asn_vol]]=exported_results[[#This Row],[c_node]]</f>
        <v>0</v>
      </c>
      <c r="J17" s="33">
        <v>511</v>
      </c>
      <c r="K17">
        <v>510</v>
      </c>
      <c r="L17">
        <v>505</v>
      </c>
      <c r="M17">
        <v>172.49999999999901</v>
      </c>
    </row>
    <row r="18" spans="3:13" x14ac:dyDescent="0.25">
      <c r="C18" s="33">
        <v>511</v>
      </c>
      <c r="D18">
        <v>510</v>
      </c>
      <c r="E18">
        <v>509</v>
      </c>
      <c r="F18">
        <v>850</v>
      </c>
      <c r="G18" t="str">
        <f>exported_results[[#This Row],[a_node,b_node,c_node,asn_vol]]&amp;"_"&amp;exported_results[[#This Row],[b_node]]&amp;"_"&amp;exported_results[[#This Row],[c_node]]</f>
        <v>511_510_509</v>
      </c>
      <c r="H18" t="b">
        <f>exported_results[[#This Row],[a_node,b_node,c_node,asn_vol]]=exported_results[[#This Row],[c_node]]</f>
        <v>0</v>
      </c>
      <c r="J18" s="33">
        <v>511</v>
      </c>
      <c r="K18">
        <v>510</v>
      </c>
      <c r="L18">
        <v>509</v>
      </c>
      <c r="M18">
        <v>850</v>
      </c>
    </row>
    <row r="19" spans="3:13" x14ac:dyDescent="0.25">
      <c r="C19">
        <v>511</v>
      </c>
      <c r="D19">
        <v>510</v>
      </c>
      <c r="E19">
        <v>511</v>
      </c>
      <c r="F19">
        <v>2.0052692171160401E-3</v>
      </c>
      <c r="G19" t="str">
        <f>exported_results[[#This Row],[a_node,b_node,c_node,asn_vol]]&amp;"_"&amp;exported_results[[#This Row],[b_node]]&amp;"_"&amp;exported_results[[#This Row],[c_node]]</f>
        <v>511_510_511</v>
      </c>
      <c r="H19" t="b">
        <f>exported_results[[#This Row],[a_node,b_node,c_node,asn_vol]]=exported_results[[#This Row],[c_node]]</f>
        <v>1</v>
      </c>
      <c r="J19">
        <v>511</v>
      </c>
      <c r="K19">
        <v>510</v>
      </c>
      <c r="L19">
        <v>511</v>
      </c>
      <c r="M19">
        <v>2.0052692171160401E-3</v>
      </c>
    </row>
    <row r="20" spans="3:13" x14ac:dyDescent="0.25">
      <c r="C20">
        <v>512</v>
      </c>
      <c r="D20">
        <v>511</v>
      </c>
      <c r="E20">
        <v>326</v>
      </c>
      <c r="F20">
        <v>85.000162520434401</v>
      </c>
      <c r="G20" t="str">
        <f>exported_results[[#This Row],[a_node,b_node,c_node,asn_vol]]&amp;"_"&amp;exported_results[[#This Row],[b_node]]&amp;"_"&amp;exported_results[[#This Row],[c_node]]</f>
        <v>512_511_326</v>
      </c>
      <c r="H20" t="b">
        <f>exported_results[[#This Row],[a_node,b_node,c_node,asn_vol]]=exported_results[[#This Row],[c_node]]</f>
        <v>0</v>
      </c>
      <c r="J20">
        <v>512</v>
      </c>
      <c r="K20">
        <v>511</v>
      </c>
      <c r="L20">
        <v>326</v>
      </c>
      <c r="M20">
        <v>85.000162520434401</v>
      </c>
    </row>
    <row r="21" spans="3:13" x14ac:dyDescent="0.25">
      <c r="C21" s="33">
        <v>512</v>
      </c>
      <c r="D21">
        <v>511</v>
      </c>
      <c r="E21">
        <v>506</v>
      </c>
      <c r="F21">
        <v>208.80656996149</v>
      </c>
      <c r="G21" t="str">
        <f>exported_results[[#This Row],[a_node,b_node,c_node,asn_vol]]&amp;"_"&amp;exported_results[[#This Row],[b_node]]&amp;"_"&amp;exported_results[[#This Row],[c_node]]</f>
        <v>512_511_506</v>
      </c>
      <c r="H21" t="b">
        <f>exported_results[[#This Row],[a_node,b_node,c_node,asn_vol]]=exported_results[[#This Row],[c_node]]</f>
        <v>0</v>
      </c>
      <c r="J21" s="33">
        <v>512</v>
      </c>
      <c r="K21">
        <v>511</v>
      </c>
      <c r="L21">
        <v>506</v>
      </c>
      <c r="M21">
        <v>208.80656996149</v>
      </c>
    </row>
    <row r="22" spans="3:13" x14ac:dyDescent="0.25">
      <c r="C22" s="33">
        <v>512</v>
      </c>
      <c r="D22">
        <v>511</v>
      </c>
      <c r="E22">
        <v>510</v>
      </c>
      <c r="F22">
        <v>822.32771307942005</v>
      </c>
      <c r="G22" t="str">
        <f>exported_results[[#This Row],[a_node,b_node,c_node,asn_vol]]&amp;"_"&amp;exported_results[[#This Row],[b_node]]&amp;"_"&amp;exported_results[[#This Row],[c_node]]</f>
        <v>512_511_510</v>
      </c>
      <c r="H22" t="b">
        <f>exported_results[[#This Row],[a_node,b_node,c_node,asn_vol]]=exported_results[[#This Row],[c_node]]</f>
        <v>0</v>
      </c>
      <c r="J22" s="33">
        <v>512</v>
      </c>
      <c r="K22">
        <v>511</v>
      </c>
      <c r="L22">
        <v>510</v>
      </c>
      <c r="M22">
        <v>822.32771307942005</v>
      </c>
    </row>
    <row r="23" spans="3:13" x14ac:dyDescent="0.25">
      <c r="C23">
        <v>512</v>
      </c>
      <c r="D23">
        <v>511</v>
      </c>
      <c r="E23">
        <v>512</v>
      </c>
      <c r="F23">
        <v>8.2953527023373903E-3</v>
      </c>
      <c r="G23" t="str">
        <f>exported_results[[#This Row],[a_node,b_node,c_node,asn_vol]]&amp;"_"&amp;exported_results[[#This Row],[b_node]]&amp;"_"&amp;exported_results[[#This Row],[c_node]]</f>
        <v>512_511_512</v>
      </c>
      <c r="H23" t="b">
        <f>exported_results[[#This Row],[a_node,b_node,c_node,asn_vol]]=exported_results[[#This Row],[c_node]]</f>
        <v>1</v>
      </c>
      <c r="J23">
        <v>512</v>
      </c>
      <c r="K23">
        <v>511</v>
      </c>
      <c r="L23">
        <v>512</v>
      </c>
      <c r="M23">
        <v>8.2953527023373903E-3</v>
      </c>
    </row>
    <row r="24" spans="3:13" x14ac:dyDescent="0.25">
      <c r="C24">
        <v>303</v>
      </c>
      <c r="D24">
        <v>304</v>
      </c>
      <c r="E24">
        <v>305</v>
      </c>
      <c r="F24">
        <v>9.9999999999999898E-3</v>
      </c>
      <c r="G24" t="str">
        <f>exported_results[[#This Row],[a_node,b_node,c_node,asn_vol]]&amp;"_"&amp;exported_results[[#This Row],[b_node]]&amp;"_"&amp;exported_results[[#This Row],[c_node]]</f>
        <v>303_304_305</v>
      </c>
      <c r="H24" t="b">
        <f>exported_results[[#This Row],[a_node,b_node,c_node,asn_vol]]=exported_results[[#This Row],[c_node]]</f>
        <v>0</v>
      </c>
      <c r="J24">
        <v>303</v>
      </c>
      <c r="K24">
        <v>304</v>
      </c>
      <c r="L24">
        <v>305</v>
      </c>
      <c r="M24">
        <v>9.9999999999999898E-3</v>
      </c>
    </row>
    <row r="25" spans="3:13" x14ac:dyDescent="0.25">
      <c r="C25">
        <v>304</v>
      </c>
      <c r="D25">
        <v>305</v>
      </c>
      <c r="E25">
        <v>306</v>
      </c>
      <c r="F25">
        <v>9.9999999999999898E-3</v>
      </c>
      <c r="G25" t="str">
        <f>exported_results[[#This Row],[a_node,b_node,c_node,asn_vol]]&amp;"_"&amp;exported_results[[#This Row],[b_node]]&amp;"_"&amp;exported_results[[#This Row],[c_node]]</f>
        <v>304_305_306</v>
      </c>
      <c r="H25" t="b">
        <f>exported_results[[#This Row],[a_node,b_node,c_node,asn_vol]]=exported_results[[#This Row],[c_node]]</f>
        <v>0</v>
      </c>
      <c r="J25">
        <v>304</v>
      </c>
      <c r="K25">
        <v>305</v>
      </c>
      <c r="L25">
        <v>306</v>
      </c>
      <c r="M25">
        <v>9.9999999999999898E-3</v>
      </c>
    </row>
    <row r="26" spans="3:13" x14ac:dyDescent="0.25">
      <c r="C26">
        <v>304</v>
      </c>
      <c r="D26">
        <v>305</v>
      </c>
      <c r="E26">
        <v>308</v>
      </c>
      <c r="F26">
        <v>9.9999999999999898E-3</v>
      </c>
      <c r="G26" t="str">
        <f>exported_results[[#This Row],[a_node,b_node,c_node,asn_vol]]&amp;"_"&amp;exported_results[[#This Row],[b_node]]&amp;"_"&amp;exported_results[[#This Row],[c_node]]</f>
        <v>304_305_308</v>
      </c>
      <c r="H26" t="b">
        <f>exported_results[[#This Row],[a_node,b_node,c_node,asn_vol]]=exported_results[[#This Row],[c_node]]</f>
        <v>0</v>
      </c>
      <c r="J26">
        <v>304</v>
      </c>
      <c r="K26">
        <v>305</v>
      </c>
      <c r="L26">
        <v>308</v>
      </c>
      <c r="M26">
        <v>9.9999999999999898E-3</v>
      </c>
    </row>
    <row r="27" spans="3:13" x14ac:dyDescent="0.25">
      <c r="C27" s="33">
        <v>508</v>
      </c>
      <c r="D27">
        <v>224</v>
      </c>
      <c r="E27">
        <v>225</v>
      </c>
      <c r="F27">
        <v>212.5</v>
      </c>
      <c r="G27" t="str">
        <f>exported_results[[#This Row],[a_node,b_node,c_node,asn_vol]]&amp;"_"&amp;exported_results[[#This Row],[b_node]]&amp;"_"&amp;exported_results[[#This Row],[c_node]]</f>
        <v>508_224_225</v>
      </c>
      <c r="H27" t="b">
        <f>exported_results[[#This Row],[a_node,b_node,c_node,asn_vol]]=exported_results[[#This Row],[c_node]]</f>
        <v>0</v>
      </c>
      <c r="J27" s="33">
        <v>508</v>
      </c>
      <c r="K27">
        <v>224</v>
      </c>
      <c r="L27">
        <v>225</v>
      </c>
      <c r="M27">
        <v>212.5</v>
      </c>
    </row>
    <row r="28" spans="3:13" x14ac:dyDescent="0.25">
      <c r="C28" s="33">
        <v>508</v>
      </c>
      <c r="D28">
        <v>224</v>
      </c>
      <c r="E28">
        <v>113</v>
      </c>
      <c r="F28">
        <v>783.74273897267506</v>
      </c>
      <c r="G28" t="str">
        <f>exported_results[[#This Row],[a_node,b_node,c_node,asn_vol]]&amp;"_"&amp;exported_results[[#This Row],[b_node]]&amp;"_"&amp;exported_results[[#This Row],[c_node]]</f>
        <v>508_224_113</v>
      </c>
      <c r="H28" t="b">
        <f>exported_results[[#This Row],[a_node,b_node,c_node,asn_vol]]=exported_results[[#This Row],[c_node]]</f>
        <v>0</v>
      </c>
      <c r="J28" s="33">
        <v>508</v>
      </c>
      <c r="K28">
        <v>224</v>
      </c>
      <c r="L28">
        <v>113</v>
      </c>
      <c r="M28">
        <v>783.74273897267506</v>
      </c>
    </row>
    <row r="29" spans="3:13" x14ac:dyDescent="0.25">
      <c r="C29">
        <v>508</v>
      </c>
      <c r="D29">
        <v>224</v>
      </c>
      <c r="E29">
        <v>508</v>
      </c>
      <c r="F29" s="29">
        <v>5.1052080465865503E-5</v>
      </c>
      <c r="G29" t="str">
        <f>exported_results[[#This Row],[a_node,b_node,c_node,asn_vol]]&amp;"_"&amp;exported_results[[#This Row],[b_node]]&amp;"_"&amp;exported_results[[#This Row],[c_node]]</f>
        <v>508_224_508</v>
      </c>
      <c r="H29" t="b">
        <f>exported_results[[#This Row],[a_node,b_node,c_node,asn_vol]]=exported_results[[#This Row],[c_node]]</f>
        <v>1</v>
      </c>
      <c r="J29">
        <v>508</v>
      </c>
      <c r="K29">
        <v>224</v>
      </c>
      <c r="L29">
        <v>508</v>
      </c>
      <c r="M29" s="29">
        <v>5.1052080465865503E-5</v>
      </c>
    </row>
    <row r="30" spans="3:13" x14ac:dyDescent="0.25">
      <c r="C30" s="33">
        <v>503</v>
      </c>
      <c r="D30">
        <v>227</v>
      </c>
      <c r="E30">
        <v>228</v>
      </c>
      <c r="F30">
        <v>170</v>
      </c>
      <c r="G30" t="str">
        <f>exported_results[[#This Row],[a_node,b_node,c_node,asn_vol]]&amp;"_"&amp;exported_results[[#This Row],[b_node]]&amp;"_"&amp;exported_results[[#This Row],[c_node]]</f>
        <v>503_227_228</v>
      </c>
      <c r="H30" t="b">
        <f>exported_results[[#This Row],[a_node,b_node,c_node,asn_vol]]=exported_results[[#This Row],[c_node]]</f>
        <v>0</v>
      </c>
      <c r="J30" s="33">
        <v>503</v>
      </c>
      <c r="K30">
        <v>227</v>
      </c>
      <c r="L30">
        <v>228</v>
      </c>
      <c r="M30">
        <v>170</v>
      </c>
    </row>
    <row r="31" spans="3:13" x14ac:dyDescent="0.25">
      <c r="C31" s="33">
        <v>503</v>
      </c>
      <c r="D31">
        <v>227</v>
      </c>
      <c r="E31">
        <v>110</v>
      </c>
      <c r="F31">
        <v>917.50273396538103</v>
      </c>
      <c r="G31" t="str">
        <f>exported_results[[#This Row],[a_node,b_node,c_node,asn_vol]]&amp;"_"&amp;exported_results[[#This Row],[b_node]]&amp;"_"&amp;exported_results[[#This Row],[c_node]]</f>
        <v>503_227_110</v>
      </c>
      <c r="H31" t="b">
        <f>exported_results[[#This Row],[a_node,b_node,c_node,asn_vol]]=exported_results[[#This Row],[c_node]]</f>
        <v>0</v>
      </c>
      <c r="J31" s="33">
        <v>503</v>
      </c>
      <c r="K31">
        <v>227</v>
      </c>
      <c r="L31">
        <v>110</v>
      </c>
      <c r="M31">
        <v>917.50273396538103</v>
      </c>
    </row>
    <row r="32" spans="3:13" x14ac:dyDescent="0.25">
      <c r="C32">
        <v>503</v>
      </c>
      <c r="D32">
        <v>227</v>
      </c>
      <c r="E32">
        <v>503</v>
      </c>
      <c r="F32">
        <v>4.9578380346556299E-3</v>
      </c>
      <c r="G32" t="str">
        <f>exported_results[[#This Row],[a_node,b_node,c_node,asn_vol]]&amp;"_"&amp;exported_results[[#This Row],[b_node]]&amp;"_"&amp;exported_results[[#This Row],[c_node]]</f>
        <v>503_227_503</v>
      </c>
      <c r="H32" t="b">
        <f>exported_results[[#This Row],[a_node,b_node,c_node,asn_vol]]=exported_results[[#This Row],[c_node]]</f>
        <v>1</v>
      </c>
      <c r="J32">
        <v>503</v>
      </c>
      <c r="K32">
        <v>227</v>
      </c>
      <c r="L32">
        <v>503</v>
      </c>
      <c r="M32">
        <v>4.9578380346556299E-3</v>
      </c>
    </row>
    <row r="33" spans="3:13" x14ac:dyDescent="0.25">
      <c r="C33">
        <v>305</v>
      </c>
      <c r="D33">
        <v>308</v>
      </c>
      <c r="E33">
        <v>309</v>
      </c>
      <c r="F33">
        <v>9.9999999999999898E-3</v>
      </c>
      <c r="G33" t="str">
        <f>exported_results[[#This Row],[a_node,b_node,c_node,asn_vol]]&amp;"_"&amp;exported_results[[#This Row],[b_node]]&amp;"_"&amp;exported_results[[#This Row],[c_node]]</f>
        <v>305_308_309</v>
      </c>
      <c r="H33" t="b">
        <f>exported_results[[#This Row],[a_node,b_node,c_node,asn_vol]]=exported_results[[#This Row],[c_node]]</f>
        <v>0</v>
      </c>
      <c r="J33">
        <v>305</v>
      </c>
      <c r="K33">
        <v>308</v>
      </c>
      <c r="L33">
        <v>309</v>
      </c>
      <c r="M33">
        <v>9.9999999999999898E-3</v>
      </c>
    </row>
    <row r="34" spans="3:13" x14ac:dyDescent="0.25">
      <c r="C34" s="33">
        <v>513</v>
      </c>
      <c r="D34">
        <v>408</v>
      </c>
      <c r="E34">
        <v>409</v>
      </c>
      <c r="F34">
        <v>255</v>
      </c>
      <c r="G34" t="str">
        <f>exported_results[[#This Row],[a_node,b_node,c_node,asn_vol]]&amp;"_"&amp;exported_results[[#This Row],[b_node]]&amp;"_"&amp;exported_results[[#This Row],[c_node]]</f>
        <v>513_408_409</v>
      </c>
      <c r="H34" t="b">
        <f>exported_results[[#This Row],[a_node,b_node,c_node,asn_vol]]=exported_results[[#This Row],[c_node]]</f>
        <v>0</v>
      </c>
      <c r="J34" s="33">
        <v>513</v>
      </c>
      <c r="K34">
        <v>408</v>
      </c>
      <c r="L34">
        <v>409</v>
      </c>
      <c r="M34">
        <v>255</v>
      </c>
    </row>
    <row r="35" spans="3:13" x14ac:dyDescent="0.25">
      <c r="C35" s="33">
        <v>513</v>
      </c>
      <c r="D35">
        <v>408</v>
      </c>
      <c r="E35">
        <v>320</v>
      </c>
      <c r="F35">
        <v>1149.99999999999</v>
      </c>
      <c r="G35" t="str">
        <f>exported_results[[#This Row],[a_node,b_node,c_node,asn_vol]]&amp;"_"&amp;exported_results[[#This Row],[b_node]]&amp;"_"&amp;exported_results[[#This Row],[c_node]]</f>
        <v>513_408_320</v>
      </c>
      <c r="H35" t="b">
        <f>exported_results[[#This Row],[a_node,b_node,c_node,asn_vol]]=exported_results[[#This Row],[c_node]]</f>
        <v>0</v>
      </c>
      <c r="J35" s="33">
        <v>513</v>
      </c>
      <c r="K35">
        <v>408</v>
      </c>
      <c r="L35">
        <v>320</v>
      </c>
      <c r="M35">
        <v>1149.99999999999</v>
      </c>
    </row>
    <row r="36" spans="3:13" x14ac:dyDescent="0.25">
      <c r="C36">
        <v>513</v>
      </c>
      <c r="D36">
        <v>408</v>
      </c>
      <c r="E36">
        <v>513</v>
      </c>
      <c r="F36" s="29">
        <v>5.0153653594565499E-5</v>
      </c>
      <c r="G36" t="str">
        <f>exported_results[[#This Row],[a_node,b_node,c_node,asn_vol]]&amp;"_"&amp;exported_results[[#This Row],[b_node]]&amp;"_"&amp;exported_results[[#This Row],[c_node]]</f>
        <v>513_408_513</v>
      </c>
      <c r="H36" t="b">
        <f>exported_results[[#This Row],[a_node,b_node,c_node,asn_vol]]=exported_results[[#This Row],[c_node]]</f>
        <v>1</v>
      </c>
      <c r="J36">
        <v>513</v>
      </c>
      <c r="K36">
        <v>408</v>
      </c>
      <c r="L36">
        <v>513</v>
      </c>
      <c r="M36" s="29">
        <v>5.0153653594565499E-5</v>
      </c>
    </row>
    <row r="37" spans="3:13" x14ac:dyDescent="0.25">
      <c r="C37">
        <v>314</v>
      </c>
      <c r="D37">
        <v>315</v>
      </c>
      <c r="E37">
        <v>118</v>
      </c>
      <c r="F37">
        <v>9.9999999999999898E-3</v>
      </c>
      <c r="G37" t="str">
        <f>exported_results[[#This Row],[a_node,b_node,c_node,asn_vol]]&amp;"_"&amp;exported_results[[#This Row],[b_node]]&amp;"_"&amp;exported_results[[#This Row],[c_node]]</f>
        <v>314_315_118</v>
      </c>
      <c r="H37" t="b">
        <f>exported_results[[#This Row],[a_node,b_node,c_node,asn_vol]]=exported_results[[#This Row],[c_node]]</f>
        <v>0</v>
      </c>
      <c r="J37">
        <v>314</v>
      </c>
      <c r="K37">
        <v>315</v>
      </c>
      <c r="L37">
        <v>118</v>
      </c>
      <c r="M37">
        <v>9.9999999999999898E-3</v>
      </c>
    </row>
    <row r="38" spans="3:13" x14ac:dyDescent="0.25">
      <c r="C38">
        <v>314</v>
      </c>
      <c r="D38">
        <v>315</v>
      </c>
      <c r="E38">
        <v>316</v>
      </c>
      <c r="F38">
        <v>4.0756991471202798E-3</v>
      </c>
      <c r="G38" t="str">
        <f>exported_results[[#This Row],[a_node,b_node,c_node,asn_vol]]&amp;"_"&amp;exported_results[[#This Row],[b_node]]&amp;"_"&amp;exported_results[[#This Row],[c_node]]</f>
        <v>314_315_316</v>
      </c>
      <c r="H38" t="b">
        <f>exported_results[[#This Row],[a_node,b_node,c_node,asn_vol]]=exported_results[[#This Row],[c_node]]</f>
        <v>0</v>
      </c>
      <c r="J38">
        <v>314</v>
      </c>
      <c r="K38">
        <v>315</v>
      </c>
      <c r="L38">
        <v>316</v>
      </c>
      <c r="M38">
        <v>4.0756991471202798E-3</v>
      </c>
    </row>
    <row r="39" spans="3:13" x14ac:dyDescent="0.25">
      <c r="C39">
        <v>314</v>
      </c>
      <c r="D39">
        <v>221</v>
      </c>
      <c r="E39">
        <v>222</v>
      </c>
      <c r="F39">
        <v>9.9999999999999898E-3</v>
      </c>
      <c r="G39" t="str">
        <f>exported_results[[#This Row],[a_node,b_node,c_node,asn_vol]]&amp;"_"&amp;exported_results[[#This Row],[b_node]]&amp;"_"&amp;exported_results[[#This Row],[c_node]]</f>
        <v>314_221_222</v>
      </c>
      <c r="H39" t="b">
        <f>exported_results[[#This Row],[a_node,b_node,c_node,asn_vol]]=exported_results[[#This Row],[c_node]]</f>
        <v>0</v>
      </c>
      <c r="J39">
        <v>314</v>
      </c>
      <c r="K39">
        <v>221</v>
      </c>
      <c r="L39">
        <v>222</v>
      </c>
      <c r="M39">
        <v>9.9999999999999898E-3</v>
      </c>
    </row>
    <row r="40" spans="3:13" x14ac:dyDescent="0.25">
      <c r="C40">
        <v>105</v>
      </c>
      <c r="D40">
        <v>108</v>
      </c>
      <c r="E40">
        <v>109</v>
      </c>
      <c r="F40">
        <v>9.9999999999999898E-3</v>
      </c>
      <c r="G40" t="str">
        <f>exported_results[[#This Row],[a_node,b_node,c_node,asn_vol]]&amp;"_"&amp;exported_results[[#This Row],[b_node]]&amp;"_"&amp;exported_results[[#This Row],[c_node]]</f>
        <v>105_108_109</v>
      </c>
      <c r="H40" t="b">
        <f>exported_results[[#This Row],[a_node,b_node,c_node,asn_vol]]=exported_results[[#This Row],[c_node]]</f>
        <v>0</v>
      </c>
      <c r="J40">
        <v>105</v>
      </c>
      <c r="K40">
        <v>108</v>
      </c>
      <c r="L40">
        <v>109</v>
      </c>
      <c r="M40">
        <v>9.9999999999999898E-3</v>
      </c>
    </row>
    <row r="41" spans="3:13" x14ac:dyDescent="0.25">
      <c r="C41">
        <v>103</v>
      </c>
      <c r="D41">
        <v>104</v>
      </c>
      <c r="E41">
        <v>105</v>
      </c>
      <c r="F41">
        <v>9.9999999999999898E-3</v>
      </c>
      <c r="G41" t="str">
        <f>exported_results[[#This Row],[a_node,b_node,c_node,asn_vol]]&amp;"_"&amp;exported_results[[#This Row],[b_node]]&amp;"_"&amp;exported_results[[#This Row],[c_node]]</f>
        <v>103_104_105</v>
      </c>
      <c r="H41" t="b">
        <f>exported_results[[#This Row],[a_node,b_node,c_node,asn_vol]]=exported_results[[#This Row],[c_node]]</f>
        <v>0</v>
      </c>
      <c r="J41">
        <v>103</v>
      </c>
      <c r="K41">
        <v>104</v>
      </c>
      <c r="L41">
        <v>105</v>
      </c>
      <c r="M41">
        <v>9.9999999999999898E-3</v>
      </c>
    </row>
    <row r="42" spans="3:13" x14ac:dyDescent="0.25">
      <c r="C42">
        <v>107</v>
      </c>
      <c r="D42">
        <v>108</v>
      </c>
      <c r="E42">
        <v>109</v>
      </c>
      <c r="F42">
        <v>9.9999999999999898E-3</v>
      </c>
      <c r="G42" t="str">
        <f>exported_results[[#This Row],[a_node,b_node,c_node,asn_vol]]&amp;"_"&amp;exported_results[[#This Row],[b_node]]&amp;"_"&amp;exported_results[[#This Row],[c_node]]</f>
        <v>107_108_109</v>
      </c>
      <c r="H42" t="b">
        <f>exported_results[[#This Row],[a_node,b_node,c_node,asn_vol]]=exported_results[[#This Row],[c_node]]</f>
        <v>0</v>
      </c>
      <c r="J42">
        <v>107</v>
      </c>
      <c r="K42">
        <v>108</v>
      </c>
      <c r="L42">
        <v>109</v>
      </c>
      <c r="M42">
        <v>9.9999999999999898E-3</v>
      </c>
    </row>
    <row r="43" spans="3:13" x14ac:dyDescent="0.25">
      <c r="C43">
        <v>315</v>
      </c>
      <c r="D43">
        <v>118</v>
      </c>
      <c r="E43">
        <v>119</v>
      </c>
      <c r="F43">
        <v>9.9999999999999898E-3</v>
      </c>
      <c r="G43" t="str">
        <f>exported_results[[#This Row],[a_node,b_node,c_node,asn_vol]]&amp;"_"&amp;exported_results[[#This Row],[b_node]]&amp;"_"&amp;exported_results[[#This Row],[c_node]]</f>
        <v>315_118_119</v>
      </c>
      <c r="H43" t="b">
        <f>exported_results[[#This Row],[a_node,b_node,c_node,asn_vol]]=exported_results[[#This Row],[c_node]]</f>
        <v>0</v>
      </c>
      <c r="J43">
        <v>315</v>
      </c>
      <c r="K43">
        <v>118</v>
      </c>
      <c r="L43">
        <v>119</v>
      </c>
      <c r="M43">
        <v>9.9999999999999898E-3</v>
      </c>
    </row>
    <row r="44" spans="3:13" x14ac:dyDescent="0.25">
      <c r="C44">
        <v>315</v>
      </c>
      <c r="D44">
        <v>316</v>
      </c>
      <c r="E44">
        <v>317</v>
      </c>
      <c r="F44">
        <v>4.9403059073223404E-3</v>
      </c>
      <c r="G44" t="str">
        <f>exported_results[[#This Row],[a_node,b_node,c_node,asn_vol]]&amp;"_"&amp;exported_results[[#This Row],[b_node]]&amp;"_"&amp;exported_results[[#This Row],[c_node]]</f>
        <v>315_316_317</v>
      </c>
      <c r="H44" t="b">
        <f>exported_results[[#This Row],[a_node,b_node,c_node,asn_vol]]=exported_results[[#This Row],[c_node]]</f>
        <v>0</v>
      </c>
      <c r="J44">
        <v>315</v>
      </c>
      <c r="K44">
        <v>316</v>
      </c>
      <c r="L44">
        <v>317</v>
      </c>
      <c r="M44">
        <v>4.9403059073223404E-3</v>
      </c>
    </row>
    <row r="45" spans="3:13" x14ac:dyDescent="0.25">
      <c r="C45" s="33">
        <v>509</v>
      </c>
      <c r="D45">
        <v>320</v>
      </c>
      <c r="E45">
        <v>321</v>
      </c>
      <c r="F45">
        <v>255</v>
      </c>
      <c r="G45" t="str">
        <f>exported_results[[#This Row],[a_node,b_node,c_node,asn_vol]]&amp;"_"&amp;exported_results[[#This Row],[b_node]]&amp;"_"&amp;exported_results[[#This Row],[c_node]]</f>
        <v>509_320_321</v>
      </c>
      <c r="H45" t="b">
        <f>exported_results[[#This Row],[a_node,b_node,c_node,asn_vol]]=exported_results[[#This Row],[c_node]]</f>
        <v>0</v>
      </c>
      <c r="J45" s="33">
        <v>509</v>
      </c>
      <c r="K45">
        <v>320</v>
      </c>
      <c r="L45">
        <v>321</v>
      </c>
      <c r="M45">
        <v>255</v>
      </c>
    </row>
    <row r="46" spans="3:13" x14ac:dyDescent="0.25">
      <c r="C46" s="33">
        <v>509</v>
      </c>
      <c r="D46">
        <v>320</v>
      </c>
      <c r="E46">
        <v>408</v>
      </c>
      <c r="F46">
        <v>804.99999999999898</v>
      </c>
      <c r="G46" t="str">
        <f>exported_results[[#This Row],[a_node,b_node,c_node,asn_vol]]&amp;"_"&amp;exported_results[[#This Row],[b_node]]&amp;"_"&amp;exported_results[[#This Row],[c_node]]</f>
        <v>509_320_408</v>
      </c>
      <c r="H46" t="b">
        <f>exported_results[[#This Row],[a_node,b_node,c_node,asn_vol]]=exported_results[[#This Row],[c_node]]</f>
        <v>0</v>
      </c>
      <c r="J46" s="33">
        <v>509</v>
      </c>
      <c r="K46">
        <v>320</v>
      </c>
      <c r="L46">
        <v>408</v>
      </c>
      <c r="M46">
        <v>804.99999999999898</v>
      </c>
    </row>
    <row r="47" spans="3:13" x14ac:dyDescent="0.25">
      <c r="C47">
        <v>509</v>
      </c>
      <c r="D47">
        <v>320</v>
      </c>
      <c r="E47">
        <v>509</v>
      </c>
      <c r="F47">
        <v>9.9999999999999898E-3</v>
      </c>
      <c r="G47" t="str">
        <f>exported_results[[#This Row],[a_node,b_node,c_node,asn_vol]]&amp;"_"&amp;exported_results[[#This Row],[b_node]]&amp;"_"&amp;exported_results[[#This Row],[c_node]]</f>
        <v>509_320_509</v>
      </c>
      <c r="H47" t="b">
        <f>exported_results[[#This Row],[a_node,b_node,c_node,asn_vol]]=exported_results[[#This Row],[c_node]]</f>
        <v>1</v>
      </c>
      <c r="J47">
        <v>509</v>
      </c>
      <c r="K47">
        <v>320</v>
      </c>
      <c r="L47">
        <v>509</v>
      </c>
      <c r="M47">
        <v>9.9999999999999898E-3</v>
      </c>
    </row>
    <row r="48" spans="3:13" x14ac:dyDescent="0.25">
      <c r="C48">
        <v>509</v>
      </c>
      <c r="D48">
        <v>504</v>
      </c>
      <c r="E48">
        <v>509</v>
      </c>
      <c r="F48" s="29">
        <v>7.7659158502331599E-21</v>
      </c>
      <c r="G48" t="str">
        <f>exported_results[[#This Row],[a_node,b_node,c_node,asn_vol]]&amp;"_"&amp;exported_results[[#This Row],[b_node]]&amp;"_"&amp;exported_results[[#This Row],[c_node]]</f>
        <v>509_504_509</v>
      </c>
      <c r="H48" t="b">
        <f>exported_results[[#This Row],[a_node,b_node,c_node,asn_vol]]=exported_results[[#This Row],[c_node]]</f>
        <v>1</v>
      </c>
      <c r="J48">
        <v>509</v>
      </c>
      <c r="K48">
        <v>504</v>
      </c>
      <c r="L48">
        <v>509</v>
      </c>
      <c r="M48" s="29">
        <v>7.7659158502331599E-21</v>
      </c>
    </row>
    <row r="49" spans="3:13" x14ac:dyDescent="0.25">
      <c r="C49" s="33">
        <v>509</v>
      </c>
      <c r="D49">
        <v>504</v>
      </c>
      <c r="E49">
        <v>500</v>
      </c>
      <c r="F49">
        <v>1042.8366171677501</v>
      </c>
      <c r="G49" t="str">
        <f>exported_results[[#This Row],[a_node,b_node,c_node,asn_vol]]&amp;"_"&amp;exported_results[[#This Row],[b_node]]&amp;"_"&amp;exported_results[[#This Row],[c_node]]</f>
        <v>509_504_500</v>
      </c>
      <c r="H49" t="b">
        <f>exported_results[[#This Row],[a_node,b_node,c_node,asn_vol]]=exported_results[[#This Row],[c_node]]</f>
        <v>0</v>
      </c>
      <c r="J49" s="33">
        <v>509</v>
      </c>
      <c r="K49">
        <v>504</v>
      </c>
      <c r="L49">
        <v>500</v>
      </c>
      <c r="M49">
        <v>1042.8366171677501</v>
      </c>
    </row>
    <row r="50" spans="3:13" x14ac:dyDescent="0.25">
      <c r="C50">
        <v>509</v>
      </c>
      <c r="D50">
        <v>504</v>
      </c>
      <c r="E50">
        <v>110</v>
      </c>
      <c r="F50">
        <v>85</v>
      </c>
      <c r="G50" t="str">
        <f>exported_results[[#This Row],[a_node,b_node,c_node,asn_vol]]&amp;"_"&amp;exported_results[[#This Row],[b_node]]&amp;"_"&amp;exported_results[[#This Row],[c_node]]</f>
        <v>509_504_110</v>
      </c>
      <c r="H50" t="b">
        <f>exported_results[[#This Row],[a_node,b_node,c_node,asn_vol]]=exported_results[[#This Row],[c_node]]</f>
        <v>0</v>
      </c>
      <c r="J50">
        <v>509</v>
      </c>
      <c r="K50">
        <v>504</v>
      </c>
      <c r="L50">
        <v>110</v>
      </c>
      <c r="M50">
        <v>85</v>
      </c>
    </row>
    <row r="51" spans="3:13" x14ac:dyDescent="0.25">
      <c r="C51">
        <v>509</v>
      </c>
      <c r="D51">
        <v>504</v>
      </c>
      <c r="E51">
        <v>505</v>
      </c>
      <c r="F51">
        <v>57.499999999999901</v>
      </c>
      <c r="G51" t="str">
        <f>exported_results[[#This Row],[a_node,b_node,c_node,asn_vol]]&amp;"_"&amp;exported_results[[#This Row],[b_node]]&amp;"_"&amp;exported_results[[#This Row],[c_node]]</f>
        <v>509_504_505</v>
      </c>
      <c r="H51" t="b">
        <f>exported_results[[#This Row],[a_node,b_node,c_node,asn_vol]]=exported_results[[#This Row],[c_node]]</f>
        <v>0</v>
      </c>
      <c r="J51">
        <v>509</v>
      </c>
      <c r="K51">
        <v>504</v>
      </c>
      <c r="L51">
        <v>505</v>
      </c>
      <c r="M51">
        <v>57.499999999999901</v>
      </c>
    </row>
    <row r="52" spans="3:13" x14ac:dyDescent="0.25">
      <c r="C52" s="33">
        <v>509</v>
      </c>
      <c r="D52">
        <v>113</v>
      </c>
      <c r="E52">
        <v>114</v>
      </c>
      <c r="F52">
        <v>255</v>
      </c>
      <c r="G52" t="str">
        <f>exported_results[[#This Row],[a_node,b_node,c_node,asn_vol]]&amp;"_"&amp;exported_results[[#This Row],[b_node]]&amp;"_"&amp;exported_results[[#This Row],[c_node]]</f>
        <v>509_113_114</v>
      </c>
      <c r="H52" t="b">
        <f>exported_results[[#This Row],[a_node,b_node,c_node,asn_vol]]=exported_results[[#This Row],[c_node]]</f>
        <v>0</v>
      </c>
      <c r="J52" s="33">
        <v>509</v>
      </c>
      <c r="K52">
        <v>113</v>
      </c>
      <c r="L52">
        <v>114</v>
      </c>
      <c r="M52">
        <v>255</v>
      </c>
    </row>
    <row r="53" spans="3:13" x14ac:dyDescent="0.25">
      <c r="C53" s="33">
        <v>509</v>
      </c>
      <c r="D53">
        <v>113</v>
      </c>
      <c r="E53">
        <v>224</v>
      </c>
      <c r="F53">
        <v>871.66666666665003</v>
      </c>
      <c r="G53" t="str">
        <f>exported_results[[#This Row],[a_node,b_node,c_node,asn_vol]]&amp;"_"&amp;exported_results[[#This Row],[b_node]]&amp;"_"&amp;exported_results[[#This Row],[c_node]]</f>
        <v>509_113_224</v>
      </c>
      <c r="H53" t="b">
        <f>exported_results[[#This Row],[a_node,b_node,c_node,asn_vol]]=exported_results[[#This Row],[c_node]]</f>
        <v>0</v>
      </c>
      <c r="J53" s="33">
        <v>509</v>
      </c>
      <c r="K53">
        <v>113</v>
      </c>
      <c r="L53">
        <v>224</v>
      </c>
      <c r="M53">
        <v>871.66666666665003</v>
      </c>
    </row>
    <row r="54" spans="3:13" x14ac:dyDescent="0.25">
      <c r="C54">
        <v>509</v>
      </c>
      <c r="D54">
        <v>113</v>
      </c>
      <c r="E54">
        <v>509</v>
      </c>
      <c r="F54">
        <v>9.9999999999999898E-3</v>
      </c>
      <c r="G54" t="str">
        <f>exported_results[[#This Row],[a_node,b_node,c_node,asn_vol]]&amp;"_"&amp;exported_results[[#This Row],[b_node]]&amp;"_"&amp;exported_results[[#This Row],[c_node]]</f>
        <v>509_113_509</v>
      </c>
      <c r="H54" t="b">
        <f>exported_results[[#This Row],[a_node,b_node,c_node,asn_vol]]=exported_results[[#This Row],[c_node]]</f>
        <v>1</v>
      </c>
      <c r="J54">
        <v>509</v>
      </c>
      <c r="K54">
        <v>113</v>
      </c>
      <c r="L54">
        <v>509</v>
      </c>
      <c r="M54">
        <v>9.9999999999999898E-3</v>
      </c>
    </row>
    <row r="55" spans="3:13" x14ac:dyDescent="0.25">
      <c r="C55">
        <v>509</v>
      </c>
      <c r="D55">
        <v>510</v>
      </c>
      <c r="E55">
        <v>323</v>
      </c>
      <c r="F55">
        <v>42.5</v>
      </c>
      <c r="G55" t="str">
        <f>exported_results[[#This Row],[a_node,b_node,c_node,asn_vol]]&amp;"_"&amp;exported_results[[#This Row],[b_node]]&amp;"_"&amp;exported_results[[#This Row],[c_node]]</f>
        <v>509_510_323</v>
      </c>
      <c r="H55" t="b">
        <f>exported_results[[#This Row],[a_node,b_node,c_node,asn_vol]]=exported_results[[#This Row],[c_node]]</f>
        <v>0</v>
      </c>
      <c r="J55">
        <v>509</v>
      </c>
      <c r="K55">
        <v>510</v>
      </c>
      <c r="L55">
        <v>323</v>
      </c>
      <c r="M55">
        <v>42.5</v>
      </c>
    </row>
    <row r="56" spans="3:13" x14ac:dyDescent="0.25">
      <c r="C56" s="33">
        <v>509</v>
      </c>
      <c r="D56">
        <v>510</v>
      </c>
      <c r="E56">
        <v>505</v>
      </c>
      <c r="F56">
        <v>114.99999999999901</v>
      </c>
      <c r="G56" t="str">
        <f>exported_results[[#This Row],[a_node,b_node,c_node,asn_vol]]&amp;"_"&amp;exported_results[[#This Row],[b_node]]&amp;"_"&amp;exported_results[[#This Row],[c_node]]</f>
        <v>509_510_505</v>
      </c>
      <c r="H56" t="b">
        <f>exported_results[[#This Row],[a_node,b_node,c_node,asn_vol]]=exported_results[[#This Row],[c_node]]</f>
        <v>0</v>
      </c>
      <c r="J56" s="33">
        <v>509</v>
      </c>
      <c r="K56">
        <v>510</v>
      </c>
      <c r="L56">
        <v>505</v>
      </c>
      <c r="M56">
        <v>114.99999999999901</v>
      </c>
    </row>
    <row r="57" spans="3:13" x14ac:dyDescent="0.25">
      <c r="C57">
        <v>509</v>
      </c>
      <c r="D57">
        <v>510</v>
      </c>
      <c r="E57">
        <v>509</v>
      </c>
      <c r="F57" s="29">
        <v>2.1752368216874001E-20</v>
      </c>
      <c r="G57" t="str">
        <f>exported_results[[#This Row],[a_node,b_node,c_node,asn_vol]]&amp;"_"&amp;exported_results[[#This Row],[b_node]]&amp;"_"&amp;exported_results[[#This Row],[c_node]]</f>
        <v>509_510_509</v>
      </c>
      <c r="H57" t="b">
        <f>exported_results[[#This Row],[a_node,b_node,c_node,asn_vol]]=exported_results[[#This Row],[c_node]]</f>
        <v>1</v>
      </c>
      <c r="J57">
        <v>509</v>
      </c>
      <c r="K57">
        <v>510</v>
      </c>
      <c r="L57">
        <v>509</v>
      </c>
      <c r="M57" s="29">
        <v>2.1752368216874001E-20</v>
      </c>
    </row>
    <row r="58" spans="3:13" x14ac:dyDescent="0.25">
      <c r="C58" s="33">
        <v>509</v>
      </c>
      <c r="D58">
        <v>510</v>
      </c>
      <c r="E58">
        <v>511</v>
      </c>
      <c r="F58">
        <v>1483.4461218050601</v>
      </c>
      <c r="G58" t="str">
        <f>exported_results[[#This Row],[a_node,b_node,c_node,asn_vol]]&amp;"_"&amp;exported_results[[#This Row],[b_node]]&amp;"_"&amp;exported_results[[#This Row],[c_node]]</f>
        <v>509_510_511</v>
      </c>
      <c r="H58" t="b">
        <f>exported_results[[#This Row],[a_node,b_node,c_node,asn_vol]]=exported_results[[#This Row],[c_node]]</f>
        <v>0</v>
      </c>
      <c r="J58" s="33">
        <v>509</v>
      </c>
      <c r="K58">
        <v>510</v>
      </c>
      <c r="L58">
        <v>511</v>
      </c>
      <c r="M58">
        <v>1483.4461218050601</v>
      </c>
    </row>
    <row r="59" spans="3:13" x14ac:dyDescent="0.25">
      <c r="C59">
        <v>413</v>
      </c>
      <c r="D59">
        <v>414</v>
      </c>
      <c r="E59">
        <v>415</v>
      </c>
      <c r="F59">
        <v>9.9992765949477105E-3</v>
      </c>
      <c r="G59" t="str">
        <f>exported_results[[#This Row],[a_node,b_node,c_node,asn_vol]]&amp;"_"&amp;exported_results[[#This Row],[b_node]]&amp;"_"&amp;exported_results[[#This Row],[c_node]]</f>
        <v>413_414_415</v>
      </c>
      <c r="H59" t="b">
        <f>exported_results[[#This Row],[a_node,b_node,c_node,asn_vol]]=exported_results[[#This Row],[c_node]]</f>
        <v>0</v>
      </c>
      <c r="J59">
        <v>413</v>
      </c>
      <c r="K59">
        <v>414</v>
      </c>
      <c r="L59">
        <v>415</v>
      </c>
      <c r="M59">
        <v>9.9992765949477105E-3</v>
      </c>
    </row>
    <row r="60" spans="3:13" x14ac:dyDescent="0.25">
      <c r="C60">
        <v>218</v>
      </c>
      <c r="D60">
        <v>414</v>
      </c>
      <c r="E60">
        <v>415</v>
      </c>
      <c r="F60">
        <v>9.9999999999999898E-3</v>
      </c>
      <c r="G60" t="str">
        <f>exported_results[[#This Row],[a_node,b_node,c_node,asn_vol]]&amp;"_"&amp;exported_results[[#This Row],[b_node]]&amp;"_"&amp;exported_results[[#This Row],[c_node]]</f>
        <v>218_414_415</v>
      </c>
      <c r="H60" t="b">
        <f>exported_results[[#This Row],[a_node,b_node,c_node,asn_vol]]=exported_results[[#This Row],[c_node]]</f>
        <v>0</v>
      </c>
      <c r="J60">
        <v>218</v>
      </c>
      <c r="K60">
        <v>414</v>
      </c>
      <c r="L60">
        <v>415</v>
      </c>
      <c r="M60">
        <v>9.9999999999999898E-3</v>
      </c>
    </row>
    <row r="61" spans="3:13" x14ac:dyDescent="0.25">
      <c r="C61">
        <v>218</v>
      </c>
      <c r="D61">
        <v>219</v>
      </c>
      <c r="E61">
        <v>316</v>
      </c>
      <c r="F61">
        <v>9.9999999999999898E-3</v>
      </c>
      <c r="G61" t="str">
        <f>exported_results[[#This Row],[a_node,b_node,c_node,asn_vol]]&amp;"_"&amp;exported_results[[#This Row],[b_node]]&amp;"_"&amp;exported_results[[#This Row],[c_node]]</f>
        <v>218_219_316</v>
      </c>
      <c r="H61" t="b">
        <f>exported_results[[#This Row],[a_node,b_node,c_node,asn_vol]]=exported_results[[#This Row],[c_node]]</f>
        <v>0</v>
      </c>
      <c r="J61">
        <v>218</v>
      </c>
      <c r="K61">
        <v>219</v>
      </c>
      <c r="L61">
        <v>316</v>
      </c>
      <c r="M61">
        <v>9.9999999999999898E-3</v>
      </c>
    </row>
    <row r="62" spans="3:13" x14ac:dyDescent="0.25">
      <c r="C62">
        <v>218</v>
      </c>
      <c r="D62">
        <v>219</v>
      </c>
      <c r="E62">
        <v>220</v>
      </c>
      <c r="F62">
        <v>4.8493978059064901E-3</v>
      </c>
      <c r="G62" t="str">
        <f>exported_results[[#This Row],[a_node,b_node,c_node,asn_vol]]&amp;"_"&amp;exported_results[[#This Row],[b_node]]&amp;"_"&amp;exported_results[[#This Row],[c_node]]</f>
        <v>218_219_220</v>
      </c>
      <c r="H62" t="b">
        <f>exported_results[[#This Row],[a_node,b_node,c_node,asn_vol]]=exported_results[[#This Row],[c_node]]</f>
        <v>0</v>
      </c>
      <c r="J62">
        <v>218</v>
      </c>
      <c r="K62">
        <v>219</v>
      </c>
      <c r="L62">
        <v>220</v>
      </c>
      <c r="M62">
        <v>4.8493978059064901E-3</v>
      </c>
    </row>
    <row r="63" spans="3:13" x14ac:dyDescent="0.25">
      <c r="C63">
        <v>110</v>
      </c>
      <c r="D63">
        <v>111</v>
      </c>
      <c r="E63">
        <v>112</v>
      </c>
      <c r="F63">
        <v>9.9999999999999898E-3</v>
      </c>
      <c r="G63" t="str">
        <f>exported_results[[#This Row],[a_node,b_node,c_node,asn_vol]]&amp;"_"&amp;exported_results[[#This Row],[b_node]]&amp;"_"&amp;exported_results[[#This Row],[c_node]]</f>
        <v>110_111_112</v>
      </c>
      <c r="H63" t="b">
        <f>exported_results[[#This Row],[a_node,b_node,c_node,asn_vol]]=exported_results[[#This Row],[c_node]]</f>
        <v>0</v>
      </c>
      <c r="J63">
        <v>110</v>
      </c>
      <c r="K63">
        <v>111</v>
      </c>
      <c r="L63">
        <v>112</v>
      </c>
      <c r="M63">
        <v>9.9999999999999898E-3</v>
      </c>
    </row>
    <row r="64" spans="3:13" x14ac:dyDescent="0.25">
      <c r="C64" s="33">
        <v>110</v>
      </c>
      <c r="D64">
        <v>227</v>
      </c>
      <c r="E64">
        <v>228</v>
      </c>
      <c r="F64">
        <v>510</v>
      </c>
      <c r="G64" t="str">
        <f>exported_results[[#This Row],[a_node,b_node,c_node,asn_vol]]&amp;"_"&amp;exported_results[[#This Row],[b_node]]&amp;"_"&amp;exported_results[[#This Row],[c_node]]</f>
        <v>110_227_228</v>
      </c>
      <c r="H64" t="b">
        <f>exported_results[[#This Row],[a_node,b_node,c_node,asn_vol]]=exported_results[[#This Row],[c_node]]</f>
        <v>0</v>
      </c>
      <c r="J64" s="33">
        <v>110</v>
      </c>
      <c r="K64">
        <v>227</v>
      </c>
      <c r="L64">
        <v>228</v>
      </c>
      <c r="M64">
        <v>510</v>
      </c>
    </row>
    <row r="65" spans="3:13" x14ac:dyDescent="0.25">
      <c r="C65">
        <v>110</v>
      </c>
      <c r="D65">
        <v>227</v>
      </c>
      <c r="E65">
        <v>110</v>
      </c>
      <c r="F65">
        <v>7.2552627221669696E-3</v>
      </c>
      <c r="G65" t="str">
        <f>exported_results[[#This Row],[a_node,b_node,c_node,asn_vol]]&amp;"_"&amp;exported_results[[#This Row],[b_node]]&amp;"_"&amp;exported_results[[#This Row],[c_node]]</f>
        <v>110_227_110</v>
      </c>
      <c r="H65" t="b">
        <f>exported_results[[#This Row],[a_node,b_node,c_node,asn_vol]]=exported_results[[#This Row],[c_node]]</f>
        <v>1</v>
      </c>
      <c r="J65">
        <v>110</v>
      </c>
      <c r="K65">
        <v>227</v>
      </c>
      <c r="L65">
        <v>110</v>
      </c>
      <c r="M65">
        <v>7.2552627221669696E-3</v>
      </c>
    </row>
    <row r="66" spans="3:13" x14ac:dyDescent="0.25">
      <c r="C66" s="33">
        <v>110</v>
      </c>
      <c r="D66">
        <v>227</v>
      </c>
      <c r="E66">
        <v>503</v>
      </c>
      <c r="F66">
        <v>922.50273396577904</v>
      </c>
      <c r="G66" t="str">
        <f>exported_results[[#This Row],[a_node,b_node,c_node,asn_vol]]&amp;"_"&amp;exported_results[[#This Row],[b_node]]&amp;"_"&amp;exported_results[[#This Row],[c_node]]</f>
        <v>110_227_503</v>
      </c>
      <c r="H66" t="b">
        <f>exported_results[[#This Row],[a_node,b_node,c_node,asn_vol]]=exported_results[[#This Row],[c_node]]</f>
        <v>0</v>
      </c>
      <c r="J66" s="33">
        <v>110</v>
      </c>
      <c r="K66">
        <v>227</v>
      </c>
      <c r="L66">
        <v>503</v>
      </c>
      <c r="M66">
        <v>922.50273396577904</v>
      </c>
    </row>
    <row r="67" spans="3:13" x14ac:dyDescent="0.25">
      <c r="C67" s="33">
        <v>110</v>
      </c>
      <c r="D67">
        <v>504</v>
      </c>
      <c r="E67">
        <v>509</v>
      </c>
      <c r="F67">
        <v>212.5</v>
      </c>
      <c r="G67" t="str">
        <f>exported_results[[#This Row],[a_node,b_node,c_node,asn_vol]]&amp;"_"&amp;exported_results[[#This Row],[b_node]]&amp;"_"&amp;exported_results[[#This Row],[c_node]]</f>
        <v>110_504_509</v>
      </c>
      <c r="H67" t="b">
        <f>exported_results[[#This Row],[a_node,b_node,c_node,asn_vol]]=exported_results[[#This Row],[c_node]]</f>
        <v>0</v>
      </c>
      <c r="J67" s="33">
        <v>110</v>
      </c>
      <c r="K67">
        <v>504</v>
      </c>
      <c r="L67">
        <v>509</v>
      </c>
      <c r="M67">
        <v>212.5</v>
      </c>
    </row>
    <row r="68" spans="3:13" x14ac:dyDescent="0.25">
      <c r="C68">
        <v>110</v>
      </c>
      <c r="D68">
        <v>504</v>
      </c>
      <c r="E68">
        <v>500</v>
      </c>
      <c r="F68">
        <v>85</v>
      </c>
      <c r="G68" t="str">
        <f>exported_results[[#This Row],[a_node,b_node,c_node,asn_vol]]&amp;"_"&amp;exported_results[[#This Row],[b_node]]&amp;"_"&amp;exported_results[[#This Row],[c_node]]</f>
        <v>110_504_500</v>
      </c>
      <c r="H68" t="b">
        <f>exported_results[[#This Row],[a_node,b_node,c_node,asn_vol]]=exported_results[[#This Row],[c_node]]</f>
        <v>0</v>
      </c>
      <c r="J68">
        <v>110</v>
      </c>
      <c r="K68">
        <v>504</v>
      </c>
      <c r="L68">
        <v>500</v>
      </c>
      <c r="M68">
        <v>85</v>
      </c>
    </row>
    <row r="69" spans="3:13" x14ac:dyDescent="0.25">
      <c r="C69">
        <v>110</v>
      </c>
      <c r="D69">
        <v>504</v>
      </c>
      <c r="E69">
        <v>110</v>
      </c>
      <c r="F69" s="29">
        <v>5.71863529873807E-20</v>
      </c>
      <c r="G69" t="str">
        <f>exported_results[[#This Row],[a_node,b_node,c_node,asn_vol]]&amp;"_"&amp;exported_results[[#This Row],[b_node]]&amp;"_"&amp;exported_results[[#This Row],[c_node]]</f>
        <v>110_504_110</v>
      </c>
      <c r="H69" t="b">
        <f>exported_results[[#This Row],[a_node,b_node,c_node,asn_vol]]=exported_results[[#This Row],[c_node]]</f>
        <v>1</v>
      </c>
      <c r="J69">
        <v>110</v>
      </c>
      <c r="K69">
        <v>504</v>
      </c>
      <c r="L69">
        <v>110</v>
      </c>
      <c r="M69" s="29">
        <v>5.71863529873807E-20</v>
      </c>
    </row>
    <row r="70" spans="3:13" x14ac:dyDescent="0.25">
      <c r="C70" s="33">
        <v>110</v>
      </c>
      <c r="D70">
        <v>504</v>
      </c>
      <c r="E70">
        <v>505</v>
      </c>
      <c r="F70">
        <v>854.99999999999295</v>
      </c>
      <c r="G70" t="str">
        <f>exported_results[[#This Row],[a_node,b_node,c_node,asn_vol]]&amp;"_"&amp;exported_results[[#This Row],[b_node]]&amp;"_"&amp;exported_results[[#This Row],[c_node]]</f>
        <v>110_504_505</v>
      </c>
      <c r="H70" t="b">
        <f>exported_results[[#This Row],[a_node,b_node,c_node,asn_vol]]=exported_results[[#This Row],[c_node]]</f>
        <v>0</v>
      </c>
      <c r="J70" s="33">
        <v>110</v>
      </c>
      <c r="K70">
        <v>504</v>
      </c>
      <c r="L70">
        <v>505</v>
      </c>
      <c r="M70">
        <v>854.99999999999295</v>
      </c>
    </row>
    <row r="71" spans="3:13" x14ac:dyDescent="0.25">
      <c r="C71">
        <v>219</v>
      </c>
      <c r="D71">
        <v>316</v>
      </c>
      <c r="E71">
        <v>317</v>
      </c>
      <c r="F71">
        <v>9.9999999999999898E-3</v>
      </c>
      <c r="G71" t="str">
        <f>exported_results[[#This Row],[a_node,b_node,c_node,asn_vol]]&amp;"_"&amp;exported_results[[#This Row],[b_node]]&amp;"_"&amp;exported_results[[#This Row],[c_node]]</f>
        <v>219_316_317</v>
      </c>
      <c r="H71" t="b">
        <f>exported_results[[#This Row],[a_node,b_node,c_node,asn_vol]]=exported_results[[#This Row],[c_node]]</f>
        <v>0</v>
      </c>
      <c r="J71">
        <v>219</v>
      </c>
      <c r="K71">
        <v>316</v>
      </c>
      <c r="L71">
        <v>317</v>
      </c>
      <c r="M71">
        <v>9.9999999999999898E-3</v>
      </c>
    </row>
    <row r="72" spans="3:13" x14ac:dyDescent="0.25">
      <c r="C72">
        <v>219</v>
      </c>
      <c r="D72">
        <v>220</v>
      </c>
      <c r="E72">
        <v>221</v>
      </c>
      <c r="F72">
        <v>4.8959737018118002E-3</v>
      </c>
      <c r="G72" t="str">
        <f>exported_results[[#This Row],[a_node,b_node,c_node,asn_vol]]&amp;"_"&amp;exported_results[[#This Row],[b_node]]&amp;"_"&amp;exported_results[[#This Row],[c_node]]</f>
        <v>219_220_221</v>
      </c>
      <c r="H72" t="b">
        <f>exported_results[[#This Row],[a_node,b_node,c_node,asn_vol]]=exported_results[[#This Row],[c_node]]</f>
        <v>0</v>
      </c>
      <c r="J72">
        <v>219</v>
      </c>
      <c r="K72">
        <v>220</v>
      </c>
      <c r="L72">
        <v>221</v>
      </c>
      <c r="M72">
        <v>4.8959737018118002E-3</v>
      </c>
    </row>
    <row r="73" spans="3:13" x14ac:dyDescent="0.25">
      <c r="C73">
        <v>220</v>
      </c>
      <c r="D73">
        <v>221</v>
      </c>
      <c r="E73">
        <v>222</v>
      </c>
      <c r="F73">
        <v>9.9994457852474999E-3</v>
      </c>
      <c r="G73" t="str">
        <f>exported_results[[#This Row],[a_node,b_node,c_node,asn_vol]]&amp;"_"&amp;exported_results[[#This Row],[b_node]]&amp;"_"&amp;exported_results[[#This Row],[c_node]]</f>
        <v>220_221_222</v>
      </c>
      <c r="H73" t="b">
        <f>exported_results[[#This Row],[a_node,b_node,c_node,asn_vol]]=exported_results[[#This Row],[c_node]]</f>
        <v>0</v>
      </c>
      <c r="J73">
        <v>220</v>
      </c>
      <c r="K73">
        <v>221</v>
      </c>
      <c r="L73">
        <v>222</v>
      </c>
      <c r="M73">
        <v>9.9994457852474999E-3</v>
      </c>
    </row>
    <row r="74" spans="3:13" x14ac:dyDescent="0.25">
      <c r="C74">
        <v>111</v>
      </c>
      <c r="D74">
        <v>112</v>
      </c>
      <c r="E74">
        <v>113</v>
      </c>
      <c r="F74">
        <v>9.9999999999999898E-3</v>
      </c>
      <c r="G74" t="str">
        <f>exported_results[[#This Row],[a_node,b_node,c_node,asn_vol]]&amp;"_"&amp;exported_results[[#This Row],[b_node]]&amp;"_"&amp;exported_results[[#This Row],[c_node]]</f>
        <v>111_112_113</v>
      </c>
      <c r="H74" t="b">
        <f>exported_results[[#This Row],[a_node,b_node,c_node,asn_vol]]=exported_results[[#This Row],[c_node]]</f>
        <v>0</v>
      </c>
      <c r="J74">
        <v>111</v>
      </c>
      <c r="K74">
        <v>112</v>
      </c>
      <c r="L74">
        <v>113</v>
      </c>
      <c r="M74">
        <v>9.9999999999999898E-3</v>
      </c>
    </row>
    <row r="75" spans="3:13" x14ac:dyDescent="0.25">
      <c r="C75">
        <v>111</v>
      </c>
      <c r="D75">
        <v>112</v>
      </c>
      <c r="E75">
        <v>114</v>
      </c>
      <c r="F75">
        <v>9.9999999999999898E-3</v>
      </c>
      <c r="G75" t="str">
        <f>exported_results[[#This Row],[a_node,b_node,c_node,asn_vol]]&amp;"_"&amp;exported_results[[#This Row],[b_node]]&amp;"_"&amp;exported_results[[#This Row],[c_node]]</f>
        <v>111_112_114</v>
      </c>
      <c r="H75" t="b">
        <f>exported_results[[#This Row],[a_node,b_node,c_node,asn_vol]]=exported_results[[#This Row],[c_node]]</f>
        <v>0</v>
      </c>
      <c r="J75">
        <v>111</v>
      </c>
      <c r="K75">
        <v>112</v>
      </c>
      <c r="L75">
        <v>114</v>
      </c>
      <c r="M75">
        <v>9.9999999999999898E-3</v>
      </c>
    </row>
    <row r="76" spans="3:13" x14ac:dyDescent="0.25">
      <c r="C76">
        <v>221</v>
      </c>
      <c r="D76">
        <v>222</v>
      </c>
      <c r="E76">
        <v>223</v>
      </c>
      <c r="F76">
        <v>9.9999999999999898E-3</v>
      </c>
      <c r="G76" t="str">
        <f>exported_results[[#This Row],[a_node,b_node,c_node,asn_vol]]&amp;"_"&amp;exported_results[[#This Row],[b_node]]&amp;"_"&amp;exported_results[[#This Row],[c_node]]</f>
        <v>221_222_223</v>
      </c>
      <c r="H76" t="b">
        <f>exported_results[[#This Row],[a_node,b_node,c_node,asn_vol]]=exported_results[[#This Row],[c_node]]</f>
        <v>0</v>
      </c>
      <c r="J76">
        <v>221</v>
      </c>
      <c r="K76">
        <v>222</v>
      </c>
      <c r="L76">
        <v>223</v>
      </c>
      <c r="M76">
        <v>9.9999999999999898E-3</v>
      </c>
    </row>
    <row r="77" spans="3:13" x14ac:dyDescent="0.25">
      <c r="C77">
        <v>109</v>
      </c>
      <c r="D77">
        <v>110</v>
      </c>
      <c r="E77">
        <v>111</v>
      </c>
      <c r="F77" s="29">
        <v>1.1498484463402101E-22</v>
      </c>
      <c r="G77" t="str">
        <f>exported_results[[#This Row],[a_node,b_node,c_node,asn_vol]]&amp;"_"&amp;exported_results[[#This Row],[b_node]]&amp;"_"&amp;exported_results[[#This Row],[c_node]]</f>
        <v>109_110_111</v>
      </c>
      <c r="H77" t="b">
        <f>exported_results[[#This Row],[a_node,b_node,c_node,asn_vol]]=exported_results[[#This Row],[c_node]]</f>
        <v>0</v>
      </c>
      <c r="J77">
        <v>109</v>
      </c>
      <c r="K77">
        <v>110</v>
      </c>
      <c r="L77">
        <v>111</v>
      </c>
      <c r="M77" s="29">
        <v>1.1498484463402101E-22</v>
      </c>
    </row>
    <row r="78" spans="3:13" x14ac:dyDescent="0.25">
      <c r="C78" s="33">
        <v>109</v>
      </c>
      <c r="D78">
        <v>110</v>
      </c>
      <c r="E78">
        <v>227</v>
      </c>
      <c r="F78">
        <v>340</v>
      </c>
      <c r="G78" t="str">
        <f>exported_results[[#This Row],[a_node,b_node,c_node,asn_vol]]&amp;"_"&amp;exported_results[[#This Row],[b_node]]&amp;"_"&amp;exported_results[[#This Row],[c_node]]</f>
        <v>109_110_227</v>
      </c>
      <c r="H78" t="b">
        <f>exported_results[[#This Row],[a_node,b_node,c_node,asn_vol]]=exported_results[[#This Row],[c_node]]</f>
        <v>0</v>
      </c>
      <c r="J78" s="33">
        <v>109</v>
      </c>
      <c r="K78">
        <v>110</v>
      </c>
      <c r="L78">
        <v>227</v>
      </c>
      <c r="M78">
        <v>340</v>
      </c>
    </row>
    <row r="79" spans="3:13" x14ac:dyDescent="0.25">
      <c r="C79" s="33">
        <v>109</v>
      </c>
      <c r="D79">
        <v>110</v>
      </c>
      <c r="E79">
        <v>504</v>
      </c>
      <c r="F79">
        <v>382.5</v>
      </c>
      <c r="G79" t="str">
        <f>exported_results[[#This Row],[a_node,b_node,c_node,asn_vol]]&amp;"_"&amp;exported_results[[#This Row],[b_node]]&amp;"_"&amp;exported_results[[#This Row],[c_node]]</f>
        <v>109_110_504</v>
      </c>
      <c r="H79" t="b">
        <f>exported_results[[#This Row],[a_node,b_node,c_node,asn_vol]]=exported_results[[#This Row],[c_node]]</f>
        <v>0</v>
      </c>
      <c r="J79" s="33">
        <v>109</v>
      </c>
      <c r="K79">
        <v>110</v>
      </c>
      <c r="L79">
        <v>504</v>
      </c>
      <c r="M79">
        <v>382.5</v>
      </c>
    </row>
    <row r="80" spans="3:13" x14ac:dyDescent="0.25">
      <c r="C80">
        <v>109</v>
      </c>
      <c r="D80">
        <v>111</v>
      </c>
      <c r="E80">
        <v>112</v>
      </c>
      <c r="F80">
        <v>9.9999999999999898E-3</v>
      </c>
      <c r="G80" t="str">
        <f>exported_results[[#This Row],[a_node,b_node,c_node,asn_vol]]&amp;"_"&amp;exported_results[[#This Row],[b_node]]&amp;"_"&amp;exported_results[[#This Row],[c_node]]</f>
        <v>109_111_112</v>
      </c>
      <c r="H80" t="b">
        <f>exported_results[[#This Row],[a_node,b_node,c_node,asn_vol]]=exported_results[[#This Row],[c_node]]</f>
        <v>0</v>
      </c>
      <c r="J80">
        <v>109</v>
      </c>
      <c r="K80">
        <v>111</v>
      </c>
      <c r="L80">
        <v>112</v>
      </c>
      <c r="M80">
        <v>9.9999999999999898E-3</v>
      </c>
    </row>
    <row r="81" spans="3:13" x14ac:dyDescent="0.25">
      <c r="C81">
        <v>104</v>
      </c>
      <c r="D81">
        <v>105</v>
      </c>
      <c r="E81">
        <v>106</v>
      </c>
      <c r="F81">
        <v>9.9999999999999898E-3</v>
      </c>
      <c r="G81" t="str">
        <f>exported_results[[#This Row],[a_node,b_node,c_node,asn_vol]]&amp;"_"&amp;exported_results[[#This Row],[b_node]]&amp;"_"&amp;exported_results[[#This Row],[c_node]]</f>
        <v>104_105_106</v>
      </c>
      <c r="H81" t="b">
        <f>exported_results[[#This Row],[a_node,b_node,c_node,asn_vol]]=exported_results[[#This Row],[c_node]]</f>
        <v>0</v>
      </c>
      <c r="J81">
        <v>104</v>
      </c>
      <c r="K81">
        <v>105</v>
      </c>
      <c r="L81">
        <v>106</v>
      </c>
      <c r="M81">
        <v>9.9999999999999898E-3</v>
      </c>
    </row>
    <row r="82" spans="3:13" x14ac:dyDescent="0.25">
      <c r="C82">
        <v>104</v>
      </c>
      <c r="D82">
        <v>105</v>
      </c>
      <c r="E82">
        <v>108</v>
      </c>
      <c r="F82">
        <v>9.9999999999999898E-3</v>
      </c>
      <c r="G82" t="str">
        <f>exported_results[[#This Row],[a_node,b_node,c_node,asn_vol]]&amp;"_"&amp;exported_results[[#This Row],[b_node]]&amp;"_"&amp;exported_results[[#This Row],[c_node]]</f>
        <v>104_105_108</v>
      </c>
      <c r="H82" t="b">
        <f>exported_results[[#This Row],[a_node,b_node,c_node,asn_vol]]=exported_results[[#This Row],[c_node]]</f>
        <v>0</v>
      </c>
      <c r="J82">
        <v>104</v>
      </c>
      <c r="K82">
        <v>105</v>
      </c>
      <c r="L82">
        <v>108</v>
      </c>
      <c r="M82">
        <v>9.9999999999999898E-3</v>
      </c>
    </row>
    <row r="83" spans="3:13" x14ac:dyDescent="0.25">
      <c r="C83">
        <v>100</v>
      </c>
      <c r="D83">
        <v>101</v>
      </c>
      <c r="E83">
        <v>102</v>
      </c>
      <c r="F83">
        <v>9.9999999999999898E-3</v>
      </c>
      <c r="G83" t="str">
        <f>exported_results[[#This Row],[a_node,b_node,c_node,asn_vol]]&amp;"_"&amp;exported_results[[#This Row],[b_node]]&amp;"_"&amp;exported_results[[#This Row],[c_node]]</f>
        <v>100_101_102</v>
      </c>
      <c r="H83" t="b">
        <f>exported_results[[#This Row],[a_node,b_node,c_node,asn_vol]]=exported_results[[#This Row],[c_node]]</f>
        <v>0</v>
      </c>
      <c r="J83">
        <v>100</v>
      </c>
      <c r="K83">
        <v>101</v>
      </c>
      <c r="L83">
        <v>102</v>
      </c>
      <c r="M83">
        <v>9.9999999999999898E-3</v>
      </c>
    </row>
    <row r="84" spans="3:13" x14ac:dyDescent="0.25">
      <c r="C84">
        <v>100</v>
      </c>
      <c r="D84">
        <v>101</v>
      </c>
      <c r="E84">
        <v>104</v>
      </c>
      <c r="F84">
        <v>9.9999999999999898E-3</v>
      </c>
      <c r="G84" t="str">
        <f>exported_results[[#This Row],[a_node,b_node,c_node,asn_vol]]&amp;"_"&amp;exported_results[[#This Row],[b_node]]&amp;"_"&amp;exported_results[[#This Row],[c_node]]</f>
        <v>100_101_104</v>
      </c>
      <c r="H84" t="b">
        <f>exported_results[[#This Row],[a_node,b_node,c_node,asn_vol]]=exported_results[[#This Row],[c_node]]</f>
        <v>0</v>
      </c>
      <c r="J84">
        <v>100</v>
      </c>
      <c r="K84">
        <v>101</v>
      </c>
      <c r="L84">
        <v>104</v>
      </c>
      <c r="M84">
        <v>9.9999999999999898E-3</v>
      </c>
    </row>
    <row r="85" spans="3:13" x14ac:dyDescent="0.25">
      <c r="C85">
        <v>101</v>
      </c>
      <c r="D85">
        <v>104</v>
      </c>
      <c r="E85">
        <v>105</v>
      </c>
      <c r="F85">
        <v>9.9999999999999898E-3</v>
      </c>
      <c r="G85" t="str">
        <f>exported_results[[#This Row],[a_node,b_node,c_node,asn_vol]]&amp;"_"&amp;exported_results[[#This Row],[b_node]]&amp;"_"&amp;exported_results[[#This Row],[c_node]]</f>
        <v>101_104_105</v>
      </c>
      <c r="H85" t="b">
        <f>exported_results[[#This Row],[a_node,b_node,c_node,asn_vol]]=exported_results[[#This Row],[c_node]]</f>
        <v>0</v>
      </c>
      <c r="J85">
        <v>101</v>
      </c>
      <c r="K85">
        <v>104</v>
      </c>
      <c r="L85">
        <v>105</v>
      </c>
      <c r="M85">
        <v>9.9999999999999898E-3</v>
      </c>
    </row>
    <row r="86" spans="3:13" x14ac:dyDescent="0.25">
      <c r="C86">
        <v>309</v>
      </c>
      <c r="D86">
        <v>312</v>
      </c>
      <c r="E86">
        <v>313</v>
      </c>
      <c r="F86">
        <v>9.9999999999999898E-3</v>
      </c>
      <c r="G86" t="str">
        <f>exported_results[[#This Row],[a_node,b_node,c_node,asn_vol]]&amp;"_"&amp;exported_results[[#This Row],[b_node]]&amp;"_"&amp;exported_results[[#This Row],[c_node]]</f>
        <v>309_312_313</v>
      </c>
      <c r="H86" t="b">
        <f>exported_results[[#This Row],[a_node,b_node,c_node,asn_vol]]=exported_results[[#This Row],[c_node]]</f>
        <v>0</v>
      </c>
      <c r="J86">
        <v>309</v>
      </c>
      <c r="K86">
        <v>312</v>
      </c>
      <c r="L86">
        <v>313</v>
      </c>
      <c r="M86">
        <v>9.9999999999999898E-3</v>
      </c>
    </row>
    <row r="87" spans="3:13" x14ac:dyDescent="0.25">
      <c r="C87">
        <v>405</v>
      </c>
      <c r="D87">
        <v>406</v>
      </c>
      <c r="E87">
        <v>407</v>
      </c>
      <c r="F87">
        <v>9.9999999999999898E-3</v>
      </c>
      <c r="G87" t="str">
        <f>exported_results[[#This Row],[a_node,b_node,c_node,asn_vol]]&amp;"_"&amp;exported_results[[#This Row],[b_node]]&amp;"_"&amp;exported_results[[#This Row],[c_node]]</f>
        <v>405_406_407</v>
      </c>
      <c r="H87" t="b">
        <f>exported_results[[#This Row],[a_node,b_node,c_node,asn_vol]]=exported_results[[#This Row],[c_node]]</f>
        <v>0</v>
      </c>
      <c r="J87">
        <v>405</v>
      </c>
      <c r="K87">
        <v>406</v>
      </c>
      <c r="L87">
        <v>407</v>
      </c>
      <c r="M87">
        <v>9.9999999999999898E-3</v>
      </c>
    </row>
    <row r="88" spans="3:13" x14ac:dyDescent="0.25">
      <c r="C88" s="33">
        <v>405</v>
      </c>
      <c r="D88">
        <v>323</v>
      </c>
      <c r="E88">
        <v>324</v>
      </c>
      <c r="F88">
        <v>255</v>
      </c>
      <c r="G88" t="str">
        <f>exported_results[[#This Row],[a_node,b_node,c_node,asn_vol]]&amp;"_"&amp;exported_results[[#This Row],[b_node]]&amp;"_"&amp;exported_results[[#This Row],[c_node]]</f>
        <v>405_323_324</v>
      </c>
      <c r="H88" t="b">
        <f>exported_results[[#This Row],[a_node,b_node,c_node,asn_vol]]=exported_results[[#This Row],[c_node]]</f>
        <v>0</v>
      </c>
      <c r="J88" s="33">
        <v>405</v>
      </c>
      <c r="K88">
        <v>323</v>
      </c>
      <c r="L88">
        <v>324</v>
      </c>
      <c r="M88">
        <v>255</v>
      </c>
    </row>
    <row r="89" spans="3:13" x14ac:dyDescent="0.25">
      <c r="C89">
        <v>405</v>
      </c>
      <c r="D89">
        <v>323</v>
      </c>
      <c r="E89">
        <v>405</v>
      </c>
      <c r="F89" s="29">
        <v>3.8890941190533498E-20</v>
      </c>
      <c r="G89" t="str">
        <f>exported_results[[#This Row],[a_node,b_node,c_node,asn_vol]]&amp;"_"&amp;exported_results[[#This Row],[b_node]]&amp;"_"&amp;exported_results[[#This Row],[c_node]]</f>
        <v>405_323_405</v>
      </c>
      <c r="H89" t="b">
        <f>exported_results[[#This Row],[a_node,b_node,c_node,asn_vol]]=exported_results[[#This Row],[c_node]]</f>
        <v>1</v>
      </c>
      <c r="J89">
        <v>405</v>
      </c>
      <c r="K89">
        <v>323</v>
      </c>
      <c r="L89">
        <v>405</v>
      </c>
      <c r="M89" s="29">
        <v>3.8890941190533498E-20</v>
      </c>
    </row>
    <row r="90" spans="3:13" x14ac:dyDescent="0.25">
      <c r="C90" s="33">
        <v>405</v>
      </c>
      <c r="D90">
        <v>323</v>
      </c>
      <c r="E90">
        <v>510</v>
      </c>
      <c r="F90">
        <v>521.24999999999204</v>
      </c>
      <c r="G90" t="str">
        <f>exported_results[[#This Row],[a_node,b_node,c_node,asn_vol]]&amp;"_"&amp;exported_results[[#This Row],[b_node]]&amp;"_"&amp;exported_results[[#This Row],[c_node]]</f>
        <v>405_323_510</v>
      </c>
      <c r="H90" t="b">
        <f>exported_results[[#This Row],[a_node,b_node,c_node,asn_vol]]=exported_results[[#This Row],[c_node]]</f>
        <v>0</v>
      </c>
      <c r="J90" s="33">
        <v>405</v>
      </c>
      <c r="K90">
        <v>323</v>
      </c>
      <c r="L90">
        <v>510</v>
      </c>
      <c r="M90">
        <v>521.24999999999204</v>
      </c>
    </row>
    <row r="91" spans="3:13" x14ac:dyDescent="0.25">
      <c r="C91">
        <v>307</v>
      </c>
      <c r="D91">
        <v>308</v>
      </c>
      <c r="E91">
        <v>309</v>
      </c>
      <c r="F91">
        <v>9.9999999999999898E-3</v>
      </c>
      <c r="G91" t="str">
        <f>exported_results[[#This Row],[a_node,b_node,c_node,asn_vol]]&amp;"_"&amp;exported_results[[#This Row],[b_node]]&amp;"_"&amp;exported_results[[#This Row],[c_node]]</f>
        <v>307_308_309</v>
      </c>
      <c r="H91" t="b">
        <f>exported_results[[#This Row],[a_node,b_node,c_node,asn_vol]]=exported_results[[#This Row],[c_node]]</f>
        <v>0</v>
      </c>
      <c r="J91">
        <v>307</v>
      </c>
      <c r="K91">
        <v>308</v>
      </c>
      <c r="L91">
        <v>309</v>
      </c>
      <c r="M91">
        <v>9.9999999999999898E-3</v>
      </c>
    </row>
    <row r="92" spans="3:13" x14ac:dyDescent="0.25">
      <c r="C92">
        <v>311</v>
      </c>
      <c r="D92">
        <v>312</v>
      </c>
      <c r="E92">
        <v>313</v>
      </c>
      <c r="F92">
        <v>9.9999999999999898E-3</v>
      </c>
      <c r="G92" t="str">
        <f>exported_results[[#This Row],[a_node,b_node,c_node,asn_vol]]&amp;"_"&amp;exported_results[[#This Row],[b_node]]&amp;"_"&amp;exported_results[[#This Row],[c_node]]</f>
        <v>311_312_313</v>
      </c>
      <c r="H92" t="b">
        <f>exported_results[[#This Row],[a_node,b_node,c_node,asn_vol]]=exported_results[[#This Row],[c_node]]</f>
        <v>0</v>
      </c>
      <c r="J92">
        <v>311</v>
      </c>
      <c r="K92">
        <v>312</v>
      </c>
      <c r="L92">
        <v>313</v>
      </c>
      <c r="M92">
        <v>9.9999999999999898E-3</v>
      </c>
    </row>
    <row r="93" spans="3:13" x14ac:dyDescent="0.25">
      <c r="C93">
        <v>312</v>
      </c>
      <c r="D93">
        <v>313</v>
      </c>
      <c r="E93">
        <v>314</v>
      </c>
      <c r="F93">
        <v>9.9999999999999898E-3</v>
      </c>
      <c r="G93" t="str">
        <f>exported_results[[#This Row],[a_node,b_node,c_node,asn_vol]]&amp;"_"&amp;exported_results[[#This Row],[b_node]]&amp;"_"&amp;exported_results[[#This Row],[c_node]]</f>
        <v>312_313_314</v>
      </c>
      <c r="H93" t="b">
        <f>exported_results[[#This Row],[a_node,b_node,c_node,asn_vol]]=exported_results[[#This Row],[c_node]]</f>
        <v>0</v>
      </c>
      <c r="J93">
        <v>312</v>
      </c>
      <c r="K93">
        <v>313</v>
      </c>
      <c r="L93">
        <v>314</v>
      </c>
      <c r="M93">
        <v>9.9999999999999898E-3</v>
      </c>
    </row>
    <row r="94" spans="3:13" x14ac:dyDescent="0.25">
      <c r="C94">
        <v>312</v>
      </c>
      <c r="D94">
        <v>313</v>
      </c>
      <c r="E94">
        <v>318</v>
      </c>
      <c r="F94">
        <v>9.9999999999999898E-3</v>
      </c>
      <c r="G94" t="str">
        <f>exported_results[[#This Row],[a_node,b_node,c_node,asn_vol]]&amp;"_"&amp;exported_results[[#This Row],[b_node]]&amp;"_"&amp;exported_results[[#This Row],[c_node]]</f>
        <v>312_313_318</v>
      </c>
      <c r="H94" t="b">
        <f>exported_results[[#This Row],[a_node,b_node,c_node,asn_vol]]=exported_results[[#This Row],[c_node]]</f>
        <v>0</v>
      </c>
      <c r="J94">
        <v>312</v>
      </c>
      <c r="K94">
        <v>313</v>
      </c>
      <c r="L94">
        <v>318</v>
      </c>
      <c r="M94">
        <v>9.9999999999999898E-3</v>
      </c>
    </row>
    <row r="95" spans="3:13" x14ac:dyDescent="0.25">
      <c r="C95">
        <v>401</v>
      </c>
      <c r="D95">
        <v>403</v>
      </c>
      <c r="E95">
        <v>404</v>
      </c>
      <c r="F95">
        <v>9.9999999999999898E-3</v>
      </c>
      <c r="G95" t="str">
        <f>exported_results[[#This Row],[a_node,b_node,c_node,asn_vol]]&amp;"_"&amp;exported_results[[#This Row],[b_node]]&amp;"_"&amp;exported_results[[#This Row],[c_node]]</f>
        <v>401_403_404</v>
      </c>
      <c r="H95" t="b">
        <f>exported_results[[#This Row],[a_node,b_node,c_node,asn_vol]]=exported_results[[#This Row],[c_node]]</f>
        <v>0</v>
      </c>
      <c r="J95">
        <v>401</v>
      </c>
      <c r="K95">
        <v>403</v>
      </c>
      <c r="L95">
        <v>404</v>
      </c>
      <c r="M95">
        <v>9.9999999999999898E-3</v>
      </c>
    </row>
    <row r="96" spans="3:13" x14ac:dyDescent="0.25">
      <c r="C96">
        <v>401</v>
      </c>
      <c r="D96">
        <v>402</v>
      </c>
      <c r="E96">
        <v>403</v>
      </c>
      <c r="F96" s="29">
        <v>2.0559549066167599E-22</v>
      </c>
      <c r="G96" t="str">
        <f>exported_results[[#This Row],[a_node,b_node,c_node,asn_vol]]&amp;"_"&amp;exported_results[[#This Row],[b_node]]&amp;"_"&amp;exported_results[[#This Row],[c_node]]</f>
        <v>401_402_403</v>
      </c>
      <c r="H96" t="b">
        <f>exported_results[[#This Row],[a_node,b_node,c_node,asn_vol]]=exported_results[[#This Row],[c_node]]</f>
        <v>0</v>
      </c>
      <c r="J96">
        <v>401</v>
      </c>
      <c r="K96">
        <v>402</v>
      </c>
      <c r="L96">
        <v>403</v>
      </c>
      <c r="M96" s="29">
        <v>2.0559549066167599E-22</v>
      </c>
    </row>
    <row r="97" spans="3:13" x14ac:dyDescent="0.25">
      <c r="C97" s="33">
        <v>401</v>
      </c>
      <c r="D97">
        <v>402</v>
      </c>
      <c r="E97">
        <v>326</v>
      </c>
      <c r="F97">
        <v>425</v>
      </c>
      <c r="G97" t="str">
        <f>exported_results[[#This Row],[a_node,b_node,c_node,asn_vol]]&amp;"_"&amp;exported_results[[#This Row],[b_node]]&amp;"_"&amp;exported_results[[#This Row],[c_node]]</f>
        <v>401_402_326</v>
      </c>
      <c r="H97" t="b">
        <f>exported_results[[#This Row],[a_node,b_node,c_node,asn_vol]]=exported_results[[#This Row],[c_node]]</f>
        <v>0</v>
      </c>
      <c r="J97" s="33">
        <v>401</v>
      </c>
      <c r="K97">
        <v>402</v>
      </c>
      <c r="L97">
        <v>326</v>
      </c>
      <c r="M97">
        <v>425</v>
      </c>
    </row>
    <row r="98" spans="3:13" x14ac:dyDescent="0.25">
      <c r="C98" s="33">
        <v>401</v>
      </c>
      <c r="D98">
        <v>402</v>
      </c>
      <c r="E98">
        <v>515</v>
      </c>
      <c r="F98">
        <v>170</v>
      </c>
      <c r="G98" t="str">
        <f>exported_results[[#This Row],[a_node,b_node,c_node,asn_vol]]&amp;"_"&amp;exported_results[[#This Row],[b_node]]&amp;"_"&amp;exported_results[[#This Row],[c_node]]</f>
        <v>401_402_515</v>
      </c>
      <c r="H98" t="b">
        <f>exported_results[[#This Row],[a_node,b_node,c_node,asn_vol]]=exported_results[[#This Row],[c_node]]</f>
        <v>0</v>
      </c>
      <c r="J98" s="33">
        <v>401</v>
      </c>
      <c r="K98">
        <v>402</v>
      </c>
      <c r="L98">
        <v>515</v>
      </c>
      <c r="M98">
        <v>170</v>
      </c>
    </row>
    <row r="99" spans="3:13" x14ac:dyDescent="0.25">
      <c r="C99">
        <v>203</v>
      </c>
      <c r="D99">
        <v>204</v>
      </c>
      <c r="E99">
        <v>205</v>
      </c>
      <c r="F99">
        <v>9.9999999999999898E-3</v>
      </c>
      <c r="G99" t="str">
        <f>exported_results[[#This Row],[a_node,b_node,c_node,asn_vol]]&amp;"_"&amp;exported_results[[#This Row],[b_node]]&amp;"_"&amp;exported_results[[#This Row],[c_node]]</f>
        <v>203_204_205</v>
      </c>
      <c r="H99" t="b">
        <f>exported_results[[#This Row],[a_node,b_node,c_node,asn_vol]]=exported_results[[#This Row],[c_node]]</f>
        <v>0</v>
      </c>
      <c r="J99">
        <v>203</v>
      </c>
      <c r="K99">
        <v>204</v>
      </c>
      <c r="L99">
        <v>205</v>
      </c>
      <c r="M99">
        <v>9.9999999999999898E-3</v>
      </c>
    </row>
    <row r="100" spans="3:13" x14ac:dyDescent="0.25">
      <c r="C100">
        <v>404</v>
      </c>
      <c r="D100">
        <v>406</v>
      </c>
      <c r="E100">
        <v>407</v>
      </c>
      <c r="F100">
        <v>9.9999999999999898E-3</v>
      </c>
      <c r="G100" t="str">
        <f>exported_results[[#This Row],[a_node,b_node,c_node,asn_vol]]&amp;"_"&amp;exported_results[[#This Row],[b_node]]&amp;"_"&amp;exported_results[[#This Row],[c_node]]</f>
        <v>404_406_407</v>
      </c>
      <c r="H100" t="b">
        <f>exported_results[[#This Row],[a_node,b_node,c_node,asn_vol]]=exported_results[[#This Row],[c_node]]</f>
        <v>0</v>
      </c>
      <c r="J100">
        <v>404</v>
      </c>
      <c r="K100">
        <v>406</v>
      </c>
      <c r="L100">
        <v>407</v>
      </c>
      <c r="M100">
        <v>9.9999999999999898E-3</v>
      </c>
    </row>
    <row r="101" spans="3:13" x14ac:dyDescent="0.25">
      <c r="C101">
        <v>404</v>
      </c>
      <c r="D101">
        <v>405</v>
      </c>
      <c r="E101">
        <v>406</v>
      </c>
      <c r="F101" s="29">
        <v>2.0417248183385401E-22</v>
      </c>
      <c r="G101" t="str">
        <f>exported_results[[#This Row],[a_node,b_node,c_node,asn_vol]]&amp;"_"&amp;exported_results[[#This Row],[b_node]]&amp;"_"&amp;exported_results[[#This Row],[c_node]]</f>
        <v>404_405_406</v>
      </c>
      <c r="H101" t="b">
        <f>exported_results[[#This Row],[a_node,b_node,c_node,asn_vol]]=exported_results[[#This Row],[c_node]]</f>
        <v>0</v>
      </c>
      <c r="J101">
        <v>404</v>
      </c>
      <c r="K101">
        <v>405</v>
      </c>
      <c r="L101">
        <v>406</v>
      </c>
      <c r="M101" s="29">
        <v>2.0417248183385401E-22</v>
      </c>
    </row>
    <row r="102" spans="3:13" x14ac:dyDescent="0.25">
      <c r="C102" s="33">
        <v>404</v>
      </c>
      <c r="D102">
        <v>405</v>
      </c>
      <c r="E102">
        <v>323</v>
      </c>
      <c r="F102">
        <v>170</v>
      </c>
      <c r="G102" t="str">
        <f>exported_results[[#This Row],[a_node,b_node,c_node,asn_vol]]&amp;"_"&amp;exported_results[[#This Row],[b_node]]&amp;"_"&amp;exported_results[[#This Row],[c_node]]</f>
        <v>404_405_323</v>
      </c>
      <c r="H102" t="b">
        <f>exported_results[[#This Row],[a_node,b_node,c_node,asn_vol]]=exported_results[[#This Row],[c_node]]</f>
        <v>0</v>
      </c>
      <c r="J102" s="33">
        <v>404</v>
      </c>
      <c r="K102">
        <v>405</v>
      </c>
      <c r="L102">
        <v>323</v>
      </c>
      <c r="M102">
        <v>170</v>
      </c>
    </row>
    <row r="103" spans="3:13" x14ac:dyDescent="0.25">
      <c r="C103">
        <v>404</v>
      </c>
      <c r="D103">
        <v>405</v>
      </c>
      <c r="E103">
        <v>514</v>
      </c>
      <c r="F103">
        <v>42.5</v>
      </c>
      <c r="G103" t="str">
        <f>exported_results[[#This Row],[a_node,b_node,c_node,asn_vol]]&amp;"_"&amp;exported_results[[#This Row],[b_node]]&amp;"_"&amp;exported_results[[#This Row],[c_node]]</f>
        <v>404_405_514</v>
      </c>
      <c r="H103" t="b">
        <f>exported_results[[#This Row],[a_node,b_node,c_node,asn_vol]]=exported_results[[#This Row],[c_node]]</f>
        <v>0</v>
      </c>
      <c r="J103">
        <v>404</v>
      </c>
      <c r="K103">
        <v>405</v>
      </c>
      <c r="L103">
        <v>514</v>
      </c>
      <c r="M103">
        <v>42.5</v>
      </c>
    </row>
    <row r="104" spans="3:13" x14ac:dyDescent="0.25">
      <c r="C104">
        <v>403</v>
      </c>
      <c r="D104">
        <v>404</v>
      </c>
      <c r="E104">
        <v>406</v>
      </c>
      <c r="F104">
        <v>9.9999999999999898E-3</v>
      </c>
      <c r="G104" t="str">
        <f>exported_results[[#This Row],[a_node,b_node,c_node,asn_vol]]&amp;"_"&amp;exported_results[[#This Row],[b_node]]&amp;"_"&amp;exported_results[[#This Row],[c_node]]</f>
        <v>403_404_406</v>
      </c>
      <c r="H104" t="b">
        <f>exported_results[[#This Row],[a_node,b_node,c_node,asn_vol]]=exported_results[[#This Row],[c_node]]</f>
        <v>0</v>
      </c>
      <c r="J104">
        <v>403</v>
      </c>
      <c r="K104">
        <v>404</v>
      </c>
      <c r="L104">
        <v>406</v>
      </c>
      <c r="M104">
        <v>9.9999999999999898E-3</v>
      </c>
    </row>
    <row r="105" spans="3:13" x14ac:dyDescent="0.25">
      <c r="C105">
        <v>403</v>
      </c>
      <c r="D105">
        <v>404</v>
      </c>
      <c r="E105">
        <v>405</v>
      </c>
      <c r="F105">
        <v>9.9999999999999898E-3</v>
      </c>
      <c r="G105" t="str">
        <f>exported_results[[#This Row],[a_node,b_node,c_node,asn_vol]]&amp;"_"&amp;exported_results[[#This Row],[b_node]]&amp;"_"&amp;exported_results[[#This Row],[c_node]]</f>
        <v>403_404_405</v>
      </c>
      <c r="H105" t="b">
        <f>exported_results[[#This Row],[a_node,b_node,c_node,asn_vol]]=exported_results[[#This Row],[c_node]]</f>
        <v>0</v>
      </c>
      <c r="J105">
        <v>403</v>
      </c>
      <c r="K105">
        <v>404</v>
      </c>
      <c r="L105">
        <v>405</v>
      </c>
      <c r="M105">
        <v>9.9999999999999898E-3</v>
      </c>
    </row>
    <row r="106" spans="3:13" x14ac:dyDescent="0.25">
      <c r="C106">
        <v>215</v>
      </c>
      <c r="D106">
        <v>216</v>
      </c>
      <c r="E106">
        <v>217</v>
      </c>
      <c r="F106">
        <v>9.9999999999999898E-3</v>
      </c>
      <c r="G106" t="str">
        <f>exported_results[[#This Row],[a_node,b_node,c_node,asn_vol]]&amp;"_"&amp;exported_results[[#This Row],[b_node]]&amp;"_"&amp;exported_results[[#This Row],[c_node]]</f>
        <v>215_216_217</v>
      </c>
      <c r="H106" t="b">
        <f>exported_results[[#This Row],[a_node,b_node,c_node,asn_vol]]=exported_results[[#This Row],[c_node]]</f>
        <v>0</v>
      </c>
      <c r="J106">
        <v>215</v>
      </c>
      <c r="K106">
        <v>216</v>
      </c>
      <c r="L106">
        <v>217</v>
      </c>
      <c r="M106">
        <v>9.9999999999999898E-3</v>
      </c>
    </row>
    <row r="107" spans="3:13" x14ac:dyDescent="0.25">
      <c r="C107">
        <v>116</v>
      </c>
      <c r="D107">
        <v>317</v>
      </c>
      <c r="E107">
        <v>318</v>
      </c>
      <c r="F107">
        <v>9.9999999999999898E-3</v>
      </c>
      <c r="G107" t="str">
        <f>exported_results[[#This Row],[a_node,b_node,c_node,asn_vol]]&amp;"_"&amp;exported_results[[#This Row],[b_node]]&amp;"_"&amp;exported_results[[#This Row],[c_node]]</f>
        <v>116_317_318</v>
      </c>
      <c r="H107" t="b">
        <f>exported_results[[#This Row],[a_node,b_node,c_node,asn_vol]]=exported_results[[#This Row],[c_node]]</f>
        <v>0</v>
      </c>
      <c r="J107">
        <v>116</v>
      </c>
      <c r="K107">
        <v>317</v>
      </c>
      <c r="L107">
        <v>318</v>
      </c>
      <c r="M107">
        <v>9.9999999999999898E-3</v>
      </c>
    </row>
    <row r="108" spans="3:13" x14ac:dyDescent="0.25">
      <c r="C108">
        <v>116</v>
      </c>
      <c r="D108">
        <v>117</v>
      </c>
      <c r="E108">
        <v>413</v>
      </c>
      <c r="F108">
        <v>9.9999999999999898E-3</v>
      </c>
      <c r="G108" t="str">
        <f>exported_results[[#This Row],[a_node,b_node,c_node,asn_vol]]&amp;"_"&amp;exported_results[[#This Row],[b_node]]&amp;"_"&amp;exported_results[[#This Row],[c_node]]</f>
        <v>116_117_413</v>
      </c>
      <c r="H108" t="b">
        <f>exported_results[[#This Row],[a_node,b_node,c_node,asn_vol]]=exported_results[[#This Row],[c_node]]</f>
        <v>0</v>
      </c>
      <c r="J108">
        <v>116</v>
      </c>
      <c r="K108">
        <v>117</v>
      </c>
      <c r="L108">
        <v>413</v>
      </c>
      <c r="M108">
        <v>9.9999999999999898E-3</v>
      </c>
    </row>
    <row r="109" spans="3:13" x14ac:dyDescent="0.25">
      <c r="C109">
        <v>116</v>
      </c>
      <c r="D109">
        <v>117</v>
      </c>
      <c r="E109">
        <v>118</v>
      </c>
      <c r="F109">
        <v>2.8876658577042099E-3</v>
      </c>
      <c r="G109" t="str">
        <f>exported_results[[#This Row],[a_node,b_node,c_node,asn_vol]]&amp;"_"&amp;exported_results[[#This Row],[b_node]]&amp;"_"&amp;exported_results[[#This Row],[c_node]]</f>
        <v>116_117_118</v>
      </c>
      <c r="H109" t="b">
        <f>exported_results[[#This Row],[a_node,b_node,c_node,asn_vol]]=exported_results[[#This Row],[c_node]]</f>
        <v>0</v>
      </c>
      <c r="J109">
        <v>116</v>
      </c>
      <c r="K109">
        <v>117</v>
      </c>
      <c r="L109">
        <v>118</v>
      </c>
      <c r="M109">
        <v>2.8876658577042099E-3</v>
      </c>
    </row>
    <row r="110" spans="3:13" x14ac:dyDescent="0.25">
      <c r="C110">
        <v>207</v>
      </c>
      <c r="D110">
        <v>208</v>
      </c>
      <c r="E110">
        <v>209</v>
      </c>
      <c r="F110">
        <v>9.9999999999999898E-3</v>
      </c>
      <c r="G110" t="str">
        <f>exported_results[[#This Row],[a_node,b_node,c_node,asn_vol]]&amp;"_"&amp;exported_results[[#This Row],[b_node]]&amp;"_"&amp;exported_results[[#This Row],[c_node]]</f>
        <v>207_208_209</v>
      </c>
      <c r="H110" t="b">
        <f>exported_results[[#This Row],[a_node,b_node,c_node,asn_vol]]=exported_results[[#This Row],[c_node]]</f>
        <v>0</v>
      </c>
      <c r="J110">
        <v>207</v>
      </c>
      <c r="K110">
        <v>208</v>
      </c>
      <c r="L110">
        <v>209</v>
      </c>
      <c r="M110">
        <v>9.9999999999999898E-3</v>
      </c>
    </row>
    <row r="111" spans="3:13" x14ac:dyDescent="0.25">
      <c r="C111">
        <v>211</v>
      </c>
      <c r="D111">
        <v>212</v>
      </c>
      <c r="E111">
        <v>213</v>
      </c>
      <c r="F111">
        <v>9.9999999999999898E-3</v>
      </c>
      <c r="G111" t="str">
        <f>exported_results[[#This Row],[a_node,b_node,c_node,asn_vol]]&amp;"_"&amp;exported_results[[#This Row],[b_node]]&amp;"_"&amp;exported_results[[#This Row],[c_node]]</f>
        <v>211_212_213</v>
      </c>
      <c r="H111" t="b">
        <f>exported_results[[#This Row],[a_node,b_node,c_node,asn_vol]]=exported_results[[#This Row],[c_node]]</f>
        <v>0</v>
      </c>
      <c r="J111">
        <v>211</v>
      </c>
      <c r="K111">
        <v>212</v>
      </c>
      <c r="L111">
        <v>213</v>
      </c>
      <c r="M111">
        <v>9.9999999999999898E-3</v>
      </c>
    </row>
    <row r="112" spans="3:13" x14ac:dyDescent="0.25">
      <c r="C112">
        <v>225</v>
      </c>
      <c r="D112">
        <v>226</v>
      </c>
      <c r="E112">
        <v>227</v>
      </c>
      <c r="F112">
        <v>9.9999999999999898E-3</v>
      </c>
      <c r="G112" t="str">
        <f>exported_results[[#This Row],[a_node,b_node,c_node,asn_vol]]&amp;"_"&amp;exported_results[[#This Row],[b_node]]&amp;"_"&amp;exported_results[[#This Row],[c_node]]</f>
        <v>225_226_227</v>
      </c>
      <c r="H112" t="b">
        <f>exported_results[[#This Row],[a_node,b_node,c_node,asn_vol]]=exported_results[[#This Row],[c_node]]</f>
        <v>0</v>
      </c>
      <c r="J112">
        <v>225</v>
      </c>
      <c r="K112">
        <v>226</v>
      </c>
      <c r="L112">
        <v>227</v>
      </c>
      <c r="M112">
        <v>9.9999999999999898E-3</v>
      </c>
    </row>
    <row r="113" spans="3:13" x14ac:dyDescent="0.25">
      <c r="C113">
        <v>225</v>
      </c>
      <c r="D113">
        <v>226</v>
      </c>
      <c r="E113">
        <v>228</v>
      </c>
      <c r="F113">
        <v>9.9999999999999898E-3</v>
      </c>
      <c r="G113" t="str">
        <f>exported_results[[#This Row],[a_node,b_node,c_node,asn_vol]]&amp;"_"&amp;exported_results[[#This Row],[b_node]]&amp;"_"&amp;exported_results[[#This Row],[c_node]]</f>
        <v>225_226_228</v>
      </c>
      <c r="H113" t="b">
        <f>exported_results[[#This Row],[a_node,b_node,c_node,asn_vol]]=exported_results[[#This Row],[c_node]]</f>
        <v>0</v>
      </c>
      <c r="J113">
        <v>225</v>
      </c>
      <c r="K113">
        <v>226</v>
      </c>
      <c r="L113">
        <v>228</v>
      </c>
      <c r="M113">
        <v>9.9999999999999898E-3</v>
      </c>
    </row>
    <row r="114" spans="3:13" x14ac:dyDescent="0.25">
      <c r="C114">
        <v>228</v>
      </c>
      <c r="D114">
        <v>229</v>
      </c>
      <c r="E114">
        <v>230</v>
      </c>
      <c r="F114">
        <v>9.9999999999999898E-3</v>
      </c>
      <c r="G114" t="str">
        <f>exported_results[[#This Row],[a_node,b_node,c_node,asn_vol]]&amp;"_"&amp;exported_results[[#This Row],[b_node]]&amp;"_"&amp;exported_results[[#This Row],[c_node]]</f>
        <v>228_229_230</v>
      </c>
      <c r="H114" t="b">
        <f>exported_results[[#This Row],[a_node,b_node,c_node,asn_vol]]=exported_results[[#This Row],[c_node]]</f>
        <v>0</v>
      </c>
      <c r="J114">
        <v>228</v>
      </c>
      <c r="K114">
        <v>229</v>
      </c>
      <c r="L114">
        <v>230</v>
      </c>
      <c r="M114">
        <v>9.9999999999999898E-3</v>
      </c>
    </row>
    <row r="115" spans="3:13" x14ac:dyDescent="0.25">
      <c r="C115">
        <v>228</v>
      </c>
      <c r="D115">
        <v>229</v>
      </c>
      <c r="E115">
        <v>232</v>
      </c>
      <c r="F115">
        <v>9.9999999999999898E-3</v>
      </c>
      <c r="G115" t="str">
        <f>exported_results[[#This Row],[a_node,b_node,c_node,asn_vol]]&amp;"_"&amp;exported_results[[#This Row],[b_node]]&amp;"_"&amp;exported_results[[#This Row],[c_node]]</f>
        <v>228_229_232</v>
      </c>
      <c r="H115" t="b">
        <f>exported_results[[#This Row],[a_node,b_node,c_node,asn_vol]]=exported_results[[#This Row],[c_node]]</f>
        <v>0</v>
      </c>
      <c r="J115">
        <v>228</v>
      </c>
      <c r="K115">
        <v>229</v>
      </c>
      <c r="L115">
        <v>232</v>
      </c>
      <c r="M115">
        <v>9.9999999999999898E-3</v>
      </c>
    </row>
    <row r="116" spans="3:13" x14ac:dyDescent="0.25">
      <c r="C116">
        <v>226</v>
      </c>
      <c r="D116">
        <v>227</v>
      </c>
      <c r="E116">
        <v>228</v>
      </c>
      <c r="F116" s="29">
        <v>2.3867821019402102E-22</v>
      </c>
      <c r="G116" t="str">
        <f>exported_results[[#This Row],[a_node,b_node,c_node,asn_vol]]&amp;"_"&amp;exported_results[[#This Row],[b_node]]&amp;"_"&amp;exported_results[[#This Row],[c_node]]</f>
        <v>226_227_228</v>
      </c>
      <c r="H116" t="b">
        <f>exported_results[[#This Row],[a_node,b_node,c_node,asn_vol]]=exported_results[[#This Row],[c_node]]</f>
        <v>0</v>
      </c>
      <c r="J116">
        <v>226</v>
      </c>
      <c r="K116">
        <v>227</v>
      </c>
      <c r="L116">
        <v>228</v>
      </c>
      <c r="M116" s="29">
        <v>2.3867821019402102E-22</v>
      </c>
    </row>
    <row r="117" spans="3:13" x14ac:dyDescent="0.25">
      <c r="C117">
        <v>226</v>
      </c>
      <c r="D117">
        <v>227</v>
      </c>
      <c r="E117">
        <v>110</v>
      </c>
      <c r="F117">
        <v>85</v>
      </c>
      <c r="G117" t="str">
        <f>exported_results[[#This Row],[a_node,b_node,c_node,asn_vol]]&amp;"_"&amp;exported_results[[#This Row],[b_node]]&amp;"_"&amp;exported_results[[#This Row],[c_node]]</f>
        <v>226_227_110</v>
      </c>
      <c r="H117" t="b">
        <f>exported_results[[#This Row],[a_node,b_node,c_node,asn_vol]]=exported_results[[#This Row],[c_node]]</f>
        <v>0</v>
      </c>
      <c r="J117">
        <v>226</v>
      </c>
      <c r="K117">
        <v>227</v>
      </c>
      <c r="L117">
        <v>110</v>
      </c>
      <c r="M117">
        <v>85</v>
      </c>
    </row>
    <row r="118" spans="3:13" x14ac:dyDescent="0.25">
      <c r="C118">
        <v>226</v>
      </c>
      <c r="D118">
        <v>227</v>
      </c>
      <c r="E118">
        <v>503</v>
      </c>
      <c r="F118">
        <v>42.5</v>
      </c>
      <c r="G118" t="str">
        <f>exported_results[[#This Row],[a_node,b_node,c_node,asn_vol]]&amp;"_"&amp;exported_results[[#This Row],[b_node]]&amp;"_"&amp;exported_results[[#This Row],[c_node]]</f>
        <v>226_227_503</v>
      </c>
      <c r="H118" t="b">
        <f>exported_results[[#This Row],[a_node,b_node,c_node,asn_vol]]=exported_results[[#This Row],[c_node]]</f>
        <v>0</v>
      </c>
      <c r="J118">
        <v>226</v>
      </c>
      <c r="K118">
        <v>227</v>
      </c>
      <c r="L118">
        <v>503</v>
      </c>
      <c r="M118">
        <v>42.5</v>
      </c>
    </row>
    <row r="119" spans="3:13" x14ac:dyDescent="0.25">
      <c r="C119">
        <v>226</v>
      </c>
      <c r="D119">
        <v>228</v>
      </c>
      <c r="E119">
        <v>229</v>
      </c>
      <c r="F119">
        <v>9.9999999999999898E-3</v>
      </c>
      <c r="G119" t="str">
        <f>exported_results[[#This Row],[a_node,b_node,c_node,asn_vol]]&amp;"_"&amp;exported_results[[#This Row],[b_node]]&amp;"_"&amp;exported_results[[#This Row],[c_node]]</f>
        <v>226_228_229</v>
      </c>
      <c r="H119" t="b">
        <f>exported_results[[#This Row],[a_node,b_node,c_node,asn_vol]]=exported_results[[#This Row],[c_node]]</f>
        <v>0</v>
      </c>
      <c r="J119">
        <v>226</v>
      </c>
      <c r="K119">
        <v>228</v>
      </c>
      <c r="L119">
        <v>229</v>
      </c>
      <c r="M119">
        <v>9.9999999999999898E-3</v>
      </c>
    </row>
    <row r="120" spans="3:13" x14ac:dyDescent="0.25">
      <c r="C120">
        <v>227</v>
      </c>
      <c r="D120">
        <v>228</v>
      </c>
      <c r="E120">
        <v>229</v>
      </c>
      <c r="F120">
        <v>9.9999999999999898E-3</v>
      </c>
      <c r="G120" t="str">
        <f>exported_results[[#This Row],[a_node,b_node,c_node,asn_vol]]&amp;"_"&amp;exported_results[[#This Row],[b_node]]&amp;"_"&amp;exported_results[[#This Row],[c_node]]</f>
        <v>227_228_229</v>
      </c>
      <c r="H120" t="b">
        <f>exported_results[[#This Row],[a_node,b_node,c_node,asn_vol]]=exported_results[[#This Row],[c_node]]</f>
        <v>0</v>
      </c>
      <c r="J120">
        <v>227</v>
      </c>
      <c r="K120">
        <v>228</v>
      </c>
      <c r="L120">
        <v>229</v>
      </c>
      <c r="M120">
        <v>9.9999999999999898E-3</v>
      </c>
    </row>
    <row r="121" spans="3:13" x14ac:dyDescent="0.25">
      <c r="C121" s="33">
        <v>227</v>
      </c>
      <c r="D121">
        <v>110</v>
      </c>
      <c r="E121">
        <v>111</v>
      </c>
      <c r="F121">
        <v>255</v>
      </c>
      <c r="G121" t="str">
        <f>exported_results[[#This Row],[a_node,b_node,c_node,asn_vol]]&amp;"_"&amp;exported_results[[#This Row],[b_node]]&amp;"_"&amp;exported_results[[#This Row],[c_node]]</f>
        <v>227_110_111</v>
      </c>
      <c r="H121" t="b">
        <f>exported_results[[#This Row],[a_node,b_node,c_node,asn_vol]]=exported_results[[#This Row],[c_node]]</f>
        <v>0</v>
      </c>
      <c r="J121" s="33">
        <v>227</v>
      </c>
      <c r="K121">
        <v>110</v>
      </c>
      <c r="L121">
        <v>111</v>
      </c>
      <c r="M121">
        <v>255</v>
      </c>
    </row>
    <row r="122" spans="3:13" x14ac:dyDescent="0.25">
      <c r="C122">
        <v>227</v>
      </c>
      <c r="D122">
        <v>110</v>
      </c>
      <c r="E122">
        <v>227</v>
      </c>
      <c r="F122">
        <v>9.9892027040008602E-3</v>
      </c>
      <c r="G122" t="str">
        <f>exported_results[[#This Row],[a_node,b_node,c_node,asn_vol]]&amp;"_"&amp;exported_results[[#This Row],[b_node]]&amp;"_"&amp;exported_results[[#This Row],[c_node]]</f>
        <v>227_110_227</v>
      </c>
      <c r="H122" t="b">
        <f>exported_results[[#This Row],[a_node,b_node,c_node,asn_vol]]=exported_results[[#This Row],[c_node]]</f>
        <v>1</v>
      </c>
      <c r="J122">
        <v>227</v>
      </c>
      <c r="K122">
        <v>110</v>
      </c>
      <c r="L122">
        <v>227</v>
      </c>
      <c r="M122">
        <v>9.9892027040008602E-3</v>
      </c>
    </row>
    <row r="123" spans="3:13" x14ac:dyDescent="0.25">
      <c r="C123" s="33">
        <v>227</v>
      </c>
      <c r="D123">
        <v>110</v>
      </c>
      <c r="E123">
        <v>504</v>
      </c>
      <c r="F123">
        <v>747.49999999999898</v>
      </c>
      <c r="G123" t="str">
        <f>exported_results[[#This Row],[a_node,b_node,c_node,asn_vol]]&amp;"_"&amp;exported_results[[#This Row],[b_node]]&amp;"_"&amp;exported_results[[#This Row],[c_node]]</f>
        <v>227_110_504</v>
      </c>
      <c r="H123" t="b">
        <f>exported_results[[#This Row],[a_node,b_node,c_node,asn_vol]]=exported_results[[#This Row],[c_node]]</f>
        <v>0</v>
      </c>
      <c r="J123" s="33">
        <v>227</v>
      </c>
      <c r="K123">
        <v>110</v>
      </c>
      <c r="L123">
        <v>504</v>
      </c>
      <c r="M123">
        <v>747.49999999999898</v>
      </c>
    </row>
    <row r="124" spans="3:13" x14ac:dyDescent="0.25">
      <c r="C124">
        <v>235</v>
      </c>
      <c r="D124">
        <v>236</v>
      </c>
      <c r="E124">
        <v>237</v>
      </c>
      <c r="F124">
        <v>9.9999999999999898E-3</v>
      </c>
      <c r="G124" t="str">
        <f>exported_results[[#This Row],[a_node,b_node,c_node,asn_vol]]&amp;"_"&amp;exported_results[[#This Row],[b_node]]&amp;"_"&amp;exported_results[[#This Row],[c_node]]</f>
        <v>235_236_237</v>
      </c>
      <c r="H124" t="b">
        <f>exported_results[[#This Row],[a_node,b_node,c_node,asn_vol]]=exported_results[[#This Row],[c_node]]</f>
        <v>0</v>
      </c>
      <c r="J124">
        <v>235</v>
      </c>
      <c r="K124">
        <v>236</v>
      </c>
      <c r="L124">
        <v>237</v>
      </c>
      <c r="M124">
        <v>9.9999999999999898E-3</v>
      </c>
    </row>
    <row r="125" spans="3:13" x14ac:dyDescent="0.25">
      <c r="C125">
        <v>233</v>
      </c>
      <c r="D125">
        <v>236</v>
      </c>
      <c r="E125">
        <v>237</v>
      </c>
      <c r="F125">
        <v>9.9999999999999898E-3</v>
      </c>
      <c r="G125" t="str">
        <f>exported_results[[#This Row],[a_node,b_node,c_node,asn_vol]]&amp;"_"&amp;exported_results[[#This Row],[b_node]]&amp;"_"&amp;exported_results[[#This Row],[c_node]]</f>
        <v>233_236_237</v>
      </c>
      <c r="H125" t="b">
        <f>exported_results[[#This Row],[a_node,b_node,c_node,asn_vol]]=exported_results[[#This Row],[c_node]]</f>
        <v>0</v>
      </c>
      <c r="J125">
        <v>233</v>
      </c>
      <c r="K125">
        <v>236</v>
      </c>
      <c r="L125">
        <v>237</v>
      </c>
      <c r="M125">
        <v>9.9999999999999898E-3</v>
      </c>
    </row>
    <row r="126" spans="3:13" x14ac:dyDescent="0.25">
      <c r="C126">
        <v>231</v>
      </c>
      <c r="D126">
        <v>232</v>
      </c>
      <c r="E126">
        <v>233</v>
      </c>
      <c r="F126">
        <v>9.9999999999999898E-3</v>
      </c>
      <c r="G126" t="str">
        <f>exported_results[[#This Row],[a_node,b_node,c_node,asn_vol]]&amp;"_"&amp;exported_results[[#This Row],[b_node]]&amp;"_"&amp;exported_results[[#This Row],[c_node]]</f>
        <v>231_232_233</v>
      </c>
      <c r="H126" t="b">
        <f>exported_results[[#This Row],[a_node,b_node,c_node,asn_vol]]=exported_results[[#This Row],[c_node]]</f>
        <v>0</v>
      </c>
      <c r="J126">
        <v>231</v>
      </c>
      <c r="K126">
        <v>232</v>
      </c>
      <c r="L126">
        <v>233</v>
      </c>
      <c r="M126">
        <v>9.9999999999999898E-3</v>
      </c>
    </row>
    <row r="127" spans="3:13" x14ac:dyDescent="0.25">
      <c r="C127">
        <v>229</v>
      </c>
      <c r="D127">
        <v>232</v>
      </c>
      <c r="E127">
        <v>233</v>
      </c>
      <c r="F127">
        <v>9.9999999999999898E-3</v>
      </c>
      <c r="G127" t="str">
        <f>exported_results[[#This Row],[a_node,b_node,c_node,asn_vol]]&amp;"_"&amp;exported_results[[#This Row],[b_node]]&amp;"_"&amp;exported_results[[#This Row],[c_node]]</f>
        <v>229_232_233</v>
      </c>
      <c r="H127" t="b">
        <f>exported_results[[#This Row],[a_node,b_node,c_node,asn_vol]]=exported_results[[#This Row],[c_node]]</f>
        <v>0</v>
      </c>
      <c r="J127">
        <v>229</v>
      </c>
      <c r="K127">
        <v>232</v>
      </c>
      <c r="L127">
        <v>233</v>
      </c>
      <c r="M127">
        <v>9.9999999999999898E-3</v>
      </c>
    </row>
    <row r="128" spans="3:13" x14ac:dyDescent="0.25">
      <c r="C128">
        <v>232</v>
      </c>
      <c r="D128">
        <v>233</v>
      </c>
      <c r="E128">
        <v>234</v>
      </c>
      <c r="F128">
        <v>9.9999999999999898E-3</v>
      </c>
      <c r="G128" t="str">
        <f>exported_results[[#This Row],[a_node,b_node,c_node,asn_vol]]&amp;"_"&amp;exported_results[[#This Row],[b_node]]&amp;"_"&amp;exported_results[[#This Row],[c_node]]</f>
        <v>232_233_234</v>
      </c>
      <c r="H128" t="b">
        <f>exported_results[[#This Row],[a_node,b_node,c_node,asn_vol]]=exported_results[[#This Row],[c_node]]</f>
        <v>0</v>
      </c>
      <c r="J128">
        <v>232</v>
      </c>
      <c r="K128">
        <v>233</v>
      </c>
      <c r="L128">
        <v>234</v>
      </c>
      <c r="M128">
        <v>9.9999999999999898E-3</v>
      </c>
    </row>
    <row r="129" spans="3:13" x14ac:dyDescent="0.25">
      <c r="C129">
        <v>232</v>
      </c>
      <c r="D129">
        <v>233</v>
      </c>
      <c r="E129">
        <v>236</v>
      </c>
      <c r="F129">
        <v>9.9999999999999898E-3</v>
      </c>
      <c r="G129" t="str">
        <f>exported_results[[#This Row],[a_node,b_node,c_node,asn_vol]]&amp;"_"&amp;exported_results[[#This Row],[b_node]]&amp;"_"&amp;exported_results[[#This Row],[c_node]]</f>
        <v>232_233_236</v>
      </c>
      <c r="H129" t="b">
        <f>exported_results[[#This Row],[a_node,b_node,c_node,asn_vol]]=exported_results[[#This Row],[c_node]]</f>
        <v>0</v>
      </c>
      <c r="J129">
        <v>232</v>
      </c>
      <c r="K129">
        <v>233</v>
      </c>
      <c r="L129">
        <v>236</v>
      </c>
      <c r="M129">
        <v>9.9999999999999898E-3</v>
      </c>
    </row>
    <row r="130" spans="3:13" x14ac:dyDescent="0.25">
      <c r="C130" s="33">
        <v>514</v>
      </c>
      <c r="D130">
        <v>405</v>
      </c>
      <c r="E130">
        <v>406</v>
      </c>
      <c r="F130">
        <v>255</v>
      </c>
      <c r="G130" t="str">
        <f>exported_results[[#This Row],[a_node,b_node,c_node,asn_vol]]&amp;"_"&amp;exported_results[[#This Row],[b_node]]&amp;"_"&amp;exported_results[[#This Row],[c_node]]</f>
        <v>514_405_406</v>
      </c>
      <c r="H130" t="b">
        <f>exported_results[[#This Row],[a_node,b_node,c_node,asn_vol]]=exported_results[[#This Row],[c_node]]</f>
        <v>0</v>
      </c>
      <c r="J130" s="33">
        <v>514</v>
      </c>
      <c r="K130">
        <v>405</v>
      </c>
      <c r="L130">
        <v>406</v>
      </c>
      <c r="M130">
        <v>255</v>
      </c>
    </row>
    <row r="131" spans="3:13" x14ac:dyDescent="0.25">
      <c r="C131" s="33">
        <v>514</v>
      </c>
      <c r="D131">
        <v>405</v>
      </c>
      <c r="E131">
        <v>323</v>
      </c>
      <c r="F131">
        <v>574.99999999999898</v>
      </c>
      <c r="G131" t="str">
        <f>exported_results[[#This Row],[a_node,b_node,c_node,asn_vol]]&amp;"_"&amp;exported_results[[#This Row],[b_node]]&amp;"_"&amp;exported_results[[#This Row],[c_node]]</f>
        <v>514_405_323</v>
      </c>
      <c r="H131" t="b">
        <f>exported_results[[#This Row],[a_node,b_node,c_node,asn_vol]]=exported_results[[#This Row],[c_node]]</f>
        <v>0</v>
      </c>
      <c r="J131" s="33">
        <v>514</v>
      </c>
      <c r="K131">
        <v>405</v>
      </c>
      <c r="L131">
        <v>323</v>
      </c>
      <c r="M131">
        <v>574.99999999999898</v>
      </c>
    </row>
    <row r="132" spans="3:13" x14ac:dyDescent="0.25">
      <c r="C132">
        <v>514</v>
      </c>
      <c r="D132">
        <v>405</v>
      </c>
      <c r="E132">
        <v>514</v>
      </c>
      <c r="F132">
        <v>9.34165447439835E-3</v>
      </c>
      <c r="G132" t="str">
        <f>exported_results[[#This Row],[a_node,b_node,c_node,asn_vol]]&amp;"_"&amp;exported_results[[#This Row],[b_node]]&amp;"_"&amp;exported_results[[#This Row],[c_node]]</f>
        <v>514_405_514</v>
      </c>
      <c r="H132" t="b">
        <f>exported_results[[#This Row],[a_node,b_node,c_node,asn_vol]]=exported_results[[#This Row],[c_node]]</f>
        <v>1</v>
      </c>
      <c r="J132">
        <v>514</v>
      </c>
      <c r="K132">
        <v>405</v>
      </c>
      <c r="L132">
        <v>514</v>
      </c>
      <c r="M132">
        <v>9.34165447439835E-3</v>
      </c>
    </row>
    <row r="133" spans="3:13" x14ac:dyDescent="0.25">
      <c r="C133">
        <v>308</v>
      </c>
      <c r="D133">
        <v>309</v>
      </c>
      <c r="E133">
        <v>310</v>
      </c>
      <c r="F133">
        <v>9.9999999999999898E-3</v>
      </c>
      <c r="G133" t="str">
        <f>exported_results[[#This Row],[a_node,b_node,c_node,asn_vol]]&amp;"_"&amp;exported_results[[#This Row],[b_node]]&amp;"_"&amp;exported_results[[#This Row],[c_node]]</f>
        <v>308_309_310</v>
      </c>
      <c r="H133" t="b">
        <f>exported_results[[#This Row],[a_node,b_node,c_node,asn_vol]]=exported_results[[#This Row],[c_node]]</f>
        <v>0</v>
      </c>
      <c r="J133">
        <v>308</v>
      </c>
      <c r="K133">
        <v>309</v>
      </c>
      <c r="L133">
        <v>310</v>
      </c>
      <c r="M133">
        <v>9.9999999999999898E-3</v>
      </c>
    </row>
    <row r="134" spans="3:13" x14ac:dyDescent="0.25">
      <c r="C134">
        <v>308</v>
      </c>
      <c r="D134">
        <v>309</v>
      </c>
      <c r="E134">
        <v>312</v>
      </c>
      <c r="F134">
        <v>9.9999999999999898E-3</v>
      </c>
      <c r="G134" t="str">
        <f>exported_results[[#This Row],[a_node,b_node,c_node,asn_vol]]&amp;"_"&amp;exported_results[[#This Row],[b_node]]&amp;"_"&amp;exported_results[[#This Row],[c_node]]</f>
        <v>308_309_312</v>
      </c>
      <c r="H134" t="b">
        <f>exported_results[[#This Row],[a_node,b_node,c_node,asn_vol]]=exported_results[[#This Row],[c_node]]</f>
        <v>0</v>
      </c>
      <c r="J134">
        <v>308</v>
      </c>
      <c r="K134">
        <v>309</v>
      </c>
      <c r="L134">
        <v>312</v>
      </c>
      <c r="M134">
        <v>9.9999999999999898E-3</v>
      </c>
    </row>
    <row r="135" spans="3:13" x14ac:dyDescent="0.25">
      <c r="C135">
        <v>402</v>
      </c>
      <c r="D135">
        <v>403</v>
      </c>
      <c r="E135">
        <v>404</v>
      </c>
      <c r="F135">
        <v>9.9999999999999898E-3</v>
      </c>
      <c r="G135" t="str">
        <f>exported_results[[#This Row],[a_node,b_node,c_node,asn_vol]]&amp;"_"&amp;exported_results[[#This Row],[b_node]]&amp;"_"&amp;exported_results[[#This Row],[c_node]]</f>
        <v>402_403_404</v>
      </c>
      <c r="H135" t="b">
        <f>exported_results[[#This Row],[a_node,b_node,c_node,asn_vol]]=exported_results[[#This Row],[c_node]]</f>
        <v>0</v>
      </c>
      <c r="J135">
        <v>402</v>
      </c>
      <c r="K135">
        <v>403</v>
      </c>
      <c r="L135">
        <v>404</v>
      </c>
      <c r="M135">
        <v>9.9999999999999898E-3</v>
      </c>
    </row>
    <row r="136" spans="3:13" x14ac:dyDescent="0.25">
      <c r="C136" s="33">
        <v>402</v>
      </c>
      <c r="D136">
        <v>326</v>
      </c>
      <c r="E136">
        <v>327</v>
      </c>
      <c r="F136">
        <v>170</v>
      </c>
      <c r="G136" t="str">
        <f>exported_results[[#This Row],[a_node,b_node,c_node,asn_vol]]&amp;"_"&amp;exported_results[[#This Row],[b_node]]&amp;"_"&amp;exported_results[[#This Row],[c_node]]</f>
        <v>402_326_327</v>
      </c>
      <c r="H136" t="b">
        <f>exported_results[[#This Row],[a_node,b_node,c_node,asn_vol]]=exported_results[[#This Row],[c_node]]</f>
        <v>0</v>
      </c>
      <c r="J136" s="33">
        <v>402</v>
      </c>
      <c r="K136">
        <v>326</v>
      </c>
      <c r="L136">
        <v>327</v>
      </c>
      <c r="M136">
        <v>170</v>
      </c>
    </row>
    <row r="137" spans="3:13" x14ac:dyDescent="0.25">
      <c r="C137">
        <v>402</v>
      </c>
      <c r="D137">
        <v>326</v>
      </c>
      <c r="E137">
        <v>402</v>
      </c>
      <c r="F137" s="29">
        <v>5.57182307814342E-8</v>
      </c>
      <c r="G137" t="str">
        <f>exported_results[[#This Row],[a_node,b_node,c_node,asn_vol]]&amp;"_"&amp;exported_results[[#This Row],[b_node]]&amp;"_"&amp;exported_results[[#This Row],[c_node]]</f>
        <v>402_326_402</v>
      </c>
      <c r="H137" t="b">
        <f>exported_results[[#This Row],[a_node,b_node,c_node,asn_vol]]=exported_results[[#This Row],[c_node]]</f>
        <v>1</v>
      </c>
      <c r="J137">
        <v>402</v>
      </c>
      <c r="K137">
        <v>326</v>
      </c>
      <c r="L137">
        <v>402</v>
      </c>
      <c r="M137" s="29">
        <v>5.57182307814342E-8</v>
      </c>
    </row>
    <row r="138" spans="3:13" x14ac:dyDescent="0.25">
      <c r="C138" s="33">
        <v>402</v>
      </c>
      <c r="D138">
        <v>326</v>
      </c>
      <c r="E138">
        <v>511</v>
      </c>
      <c r="F138">
        <v>919.51478621974798</v>
      </c>
      <c r="G138" t="str">
        <f>exported_results[[#This Row],[a_node,b_node,c_node,asn_vol]]&amp;"_"&amp;exported_results[[#This Row],[b_node]]&amp;"_"&amp;exported_results[[#This Row],[c_node]]</f>
        <v>402_326_511</v>
      </c>
      <c r="H138" t="b">
        <f>exported_results[[#This Row],[a_node,b_node,c_node,asn_vol]]=exported_results[[#This Row],[c_node]]</f>
        <v>0</v>
      </c>
      <c r="J138" s="33">
        <v>402</v>
      </c>
      <c r="K138">
        <v>326</v>
      </c>
      <c r="L138">
        <v>511</v>
      </c>
      <c r="M138">
        <v>919.51478621974798</v>
      </c>
    </row>
    <row r="139" spans="3:13" x14ac:dyDescent="0.25">
      <c r="C139" s="33">
        <v>515</v>
      </c>
      <c r="D139">
        <v>402</v>
      </c>
      <c r="E139">
        <v>403</v>
      </c>
      <c r="F139">
        <v>510</v>
      </c>
      <c r="G139" t="str">
        <f>exported_results[[#This Row],[a_node,b_node,c_node,asn_vol]]&amp;"_"&amp;exported_results[[#This Row],[b_node]]&amp;"_"&amp;exported_results[[#This Row],[c_node]]</f>
        <v>515_402_403</v>
      </c>
      <c r="H139" t="b">
        <f>exported_results[[#This Row],[a_node,b_node,c_node,asn_vol]]=exported_results[[#This Row],[c_node]]</f>
        <v>0</v>
      </c>
      <c r="J139" s="33">
        <v>515</v>
      </c>
      <c r="K139">
        <v>402</v>
      </c>
      <c r="L139">
        <v>403</v>
      </c>
      <c r="M139">
        <v>510</v>
      </c>
    </row>
    <row r="140" spans="3:13" x14ac:dyDescent="0.25">
      <c r="C140" s="33">
        <v>515</v>
      </c>
      <c r="D140">
        <v>402</v>
      </c>
      <c r="E140">
        <v>326</v>
      </c>
      <c r="F140">
        <v>664.50478632812201</v>
      </c>
      <c r="G140" t="str">
        <f>exported_results[[#This Row],[a_node,b_node,c_node,asn_vol]]&amp;"_"&amp;exported_results[[#This Row],[b_node]]&amp;"_"&amp;exported_results[[#This Row],[c_node]]</f>
        <v>515_402_326</v>
      </c>
      <c r="H140" t="b">
        <f>exported_results[[#This Row],[a_node,b_node,c_node,asn_vol]]=exported_results[[#This Row],[c_node]]</f>
        <v>0</v>
      </c>
      <c r="J140" s="33">
        <v>515</v>
      </c>
      <c r="K140">
        <v>402</v>
      </c>
      <c r="L140">
        <v>326</v>
      </c>
      <c r="M140">
        <v>664.50478632812201</v>
      </c>
    </row>
    <row r="141" spans="3:13" x14ac:dyDescent="0.25">
      <c r="C141">
        <v>515</v>
      </c>
      <c r="D141">
        <v>402</v>
      </c>
      <c r="E141">
        <v>515</v>
      </c>
      <c r="F141">
        <v>5.7392044111024404E-4</v>
      </c>
      <c r="G141" t="str">
        <f>exported_results[[#This Row],[a_node,b_node,c_node,asn_vol]]&amp;"_"&amp;exported_results[[#This Row],[b_node]]&amp;"_"&amp;exported_results[[#This Row],[c_node]]</f>
        <v>515_402_515</v>
      </c>
      <c r="H141" t="b">
        <f>exported_results[[#This Row],[a_node,b_node,c_node,asn_vol]]=exported_results[[#This Row],[c_node]]</f>
        <v>1</v>
      </c>
      <c r="J141">
        <v>515</v>
      </c>
      <c r="K141">
        <v>402</v>
      </c>
      <c r="L141">
        <v>515</v>
      </c>
      <c r="M141">
        <v>5.7392044111024404E-4</v>
      </c>
    </row>
    <row r="142" spans="3:13" x14ac:dyDescent="0.25">
      <c r="C142">
        <v>127</v>
      </c>
      <c r="D142">
        <v>128</v>
      </c>
      <c r="E142">
        <v>129</v>
      </c>
      <c r="F142">
        <v>9.9999999999999898E-3</v>
      </c>
      <c r="G142" t="str">
        <f>exported_results[[#This Row],[a_node,b_node,c_node,asn_vol]]&amp;"_"&amp;exported_results[[#This Row],[b_node]]&amp;"_"&amp;exported_results[[#This Row],[c_node]]</f>
        <v>127_128_129</v>
      </c>
      <c r="H142" t="b">
        <f>exported_results[[#This Row],[a_node,b_node,c_node,asn_vol]]=exported_results[[#This Row],[c_node]]</f>
        <v>0</v>
      </c>
      <c r="J142">
        <v>127</v>
      </c>
      <c r="K142">
        <v>128</v>
      </c>
      <c r="L142">
        <v>129</v>
      </c>
      <c r="M142">
        <v>9.9999999999999898E-3</v>
      </c>
    </row>
    <row r="143" spans="3:13" x14ac:dyDescent="0.25">
      <c r="C143">
        <v>113</v>
      </c>
      <c r="D143">
        <v>114</v>
      </c>
      <c r="E143">
        <v>115</v>
      </c>
      <c r="F143">
        <v>9.9999999999999898E-3</v>
      </c>
      <c r="G143" t="str">
        <f>exported_results[[#This Row],[a_node,b_node,c_node,asn_vol]]&amp;"_"&amp;exported_results[[#This Row],[b_node]]&amp;"_"&amp;exported_results[[#This Row],[c_node]]</f>
        <v>113_114_115</v>
      </c>
      <c r="H143" t="b">
        <f>exported_results[[#This Row],[a_node,b_node,c_node,asn_vol]]=exported_results[[#This Row],[c_node]]</f>
        <v>0</v>
      </c>
      <c r="J143">
        <v>113</v>
      </c>
      <c r="K143">
        <v>114</v>
      </c>
      <c r="L143">
        <v>115</v>
      </c>
      <c r="M143">
        <v>9.9999999999999898E-3</v>
      </c>
    </row>
    <row r="144" spans="3:13" x14ac:dyDescent="0.25">
      <c r="C144" s="33">
        <v>113</v>
      </c>
      <c r="D144">
        <v>224</v>
      </c>
      <c r="E144">
        <v>225</v>
      </c>
      <c r="F144">
        <v>595</v>
      </c>
      <c r="G144" t="str">
        <f>exported_results[[#This Row],[a_node,b_node,c_node,asn_vol]]&amp;"_"&amp;exported_results[[#This Row],[b_node]]&amp;"_"&amp;exported_results[[#This Row],[c_node]]</f>
        <v>113_224_225</v>
      </c>
      <c r="H144" t="b">
        <f>exported_results[[#This Row],[a_node,b_node,c_node,asn_vol]]=exported_results[[#This Row],[c_node]]</f>
        <v>0</v>
      </c>
      <c r="J144" s="33">
        <v>113</v>
      </c>
      <c r="K144">
        <v>224</v>
      </c>
      <c r="L144">
        <v>225</v>
      </c>
      <c r="M144">
        <v>595</v>
      </c>
    </row>
    <row r="145" spans="3:13" x14ac:dyDescent="0.25">
      <c r="C145">
        <v>113</v>
      </c>
      <c r="D145">
        <v>224</v>
      </c>
      <c r="E145">
        <v>113</v>
      </c>
      <c r="F145">
        <v>9.9999999999999898E-3</v>
      </c>
      <c r="G145" t="str">
        <f>exported_results[[#This Row],[a_node,b_node,c_node,asn_vol]]&amp;"_"&amp;exported_results[[#This Row],[b_node]]&amp;"_"&amp;exported_results[[#This Row],[c_node]]</f>
        <v>113_224_113</v>
      </c>
      <c r="H145" t="b">
        <f>exported_results[[#This Row],[a_node,b_node,c_node,asn_vol]]=exported_results[[#This Row],[c_node]]</f>
        <v>1</v>
      </c>
      <c r="J145">
        <v>113</v>
      </c>
      <c r="K145">
        <v>224</v>
      </c>
      <c r="L145">
        <v>113</v>
      </c>
      <c r="M145">
        <v>9.9999999999999898E-3</v>
      </c>
    </row>
    <row r="146" spans="3:13" x14ac:dyDescent="0.25">
      <c r="C146" s="33">
        <v>113</v>
      </c>
      <c r="D146">
        <v>224</v>
      </c>
      <c r="E146">
        <v>508</v>
      </c>
      <c r="F146">
        <v>287.49999999999898</v>
      </c>
      <c r="G146" t="str">
        <f>exported_results[[#This Row],[a_node,b_node,c_node,asn_vol]]&amp;"_"&amp;exported_results[[#This Row],[b_node]]&amp;"_"&amp;exported_results[[#This Row],[c_node]]</f>
        <v>113_224_508</v>
      </c>
      <c r="H146" t="b">
        <f>exported_results[[#This Row],[a_node,b_node,c_node,asn_vol]]=exported_results[[#This Row],[c_node]]</f>
        <v>0</v>
      </c>
      <c r="J146" s="33">
        <v>113</v>
      </c>
      <c r="K146">
        <v>224</v>
      </c>
      <c r="L146">
        <v>508</v>
      </c>
      <c r="M146">
        <v>287.49999999999898</v>
      </c>
    </row>
    <row r="147" spans="3:13" x14ac:dyDescent="0.25">
      <c r="C147">
        <v>113</v>
      </c>
      <c r="D147">
        <v>509</v>
      </c>
      <c r="E147">
        <v>320</v>
      </c>
      <c r="F147">
        <v>42.5</v>
      </c>
      <c r="G147" t="str">
        <f>exported_results[[#This Row],[a_node,b_node,c_node,asn_vol]]&amp;"_"&amp;exported_results[[#This Row],[b_node]]&amp;"_"&amp;exported_results[[#This Row],[c_node]]</f>
        <v>113_509_320</v>
      </c>
      <c r="H147" t="b">
        <f>exported_results[[#This Row],[a_node,b_node,c_node,asn_vol]]=exported_results[[#This Row],[c_node]]</f>
        <v>0</v>
      </c>
      <c r="J147">
        <v>113</v>
      </c>
      <c r="K147">
        <v>509</v>
      </c>
      <c r="L147">
        <v>320</v>
      </c>
      <c r="M147">
        <v>42.5</v>
      </c>
    </row>
    <row r="148" spans="3:13" x14ac:dyDescent="0.25">
      <c r="C148" s="33">
        <v>113</v>
      </c>
      <c r="D148">
        <v>509</v>
      </c>
      <c r="E148">
        <v>504</v>
      </c>
      <c r="F148">
        <v>107.82661716771599</v>
      </c>
      <c r="G148" t="str">
        <f>exported_results[[#This Row],[a_node,b_node,c_node,asn_vol]]&amp;"_"&amp;exported_results[[#This Row],[b_node]]&amp;"_"&amp;exported_results[[#This Row],[c_node]]</f>
        <v>113_509_504</v>
      </c>
      <c r="H148" t="b">
        <f>exported_results[[#This Row],[a_node,b_node,c_node,asn_vol]]=exported_results[[#This Row],[c_node]]</f>
        <v>0</v>
      </c>
      <c r="J148" s="33">
        <v>113</v>
      </c>
      <c r="K148">
        <v>509</v>
      </c>
      <c r="L148">
        <v>504</v>
      </c>
      <c r="M148">
        <v>107.82661716771599</v>
      </c>
    </row>
    <row r="149" spans="3:13" x14ac:dyDescent="0.25">
      <c r="C149">
        <v>113</v>
      </c>
      <c r="D149">
        <v>509</v>
      </c>
      <c r="E149">
        <v>113</v>
      </c>
      <c r="F149" s="29">
        <v>4.9969484663517198E-20</v>
      </c>
      <c r="G149" t="str">
        <f>exported_results[[#This Row],[a_node,b_node,c_node,asn_vol]]&amp;"_"&amp;exported_results[[#This Row],[b_node]]&amp;"_"&amp;exported_results[[#This Row],[c_node]]</f>
        <v>113_509_113</v>
      </c>
      <c r="H149" t="b">
        <f>exported_results[[#This Row],[a_node,b_node,c_node,asn_vol]]=exported_results[[#This Row],[c_node]]</f>
        <v>1</v>
      </c>
      <c r="J149">
        <v>113</v>
      </c>
      <c r="K149">
        <v>509</v>
      </c>
      <c r="L149">
        <v>113</v>
      </c>
      <c r="M149" s="29">
        <v>4.9969484663517198E-20</v>
      </c>
    </row>
    <row r="150" spans="3:13" x14ac:dyDescent="0.25">
      <c r="C150" s="33">
        <v>113</v>
      </c>
      <c r="D150">
        <v>509</v>
      </c>
      <c r="E150">
        <v>510</v>
      </c>
      <c r="F150">
        <v>1270.9361218049801</v>
      </c>
      <c r="G150" t="str">
        <f>exported_results[[#This Row],[a_node,b_node,c_node,asn_vol]]&amp;"_"&amp;exported_results[[#This Row],[b_node]]&amp;"_"&amp;exported_results[[#This Row],[c_node]]</f>
        <v>113_509_510</v>
      </c>
      <c r="H150" t="b">
        <f>exported_results[[#This Row],[a_node,b_node,c_node,asn_vol]]=exported_results[[#This Row],[c_node]]</f>
        <v>0</v>
      </c>
      <c r="J150" s="33">
        <v>113</v>
      </c>
      <c r="K150">
        <v>509</v>
      </c>
      <c r="L150">
        <v>510</v>
      </c>
      <c r="M150">
        <v>1270.9361218049801</v>
      </c>
    </row>
    <row r="151" spans="3:13" x14ac:dyDescent="0.25">
      <c r="C151">
        <v>216</v>
      </c>
      <c r="D151">
        <v>217</v>
      </c>
      <c r="E151">
        <v>218</v>
      </c>
      <c r="F151">
        <v>9.9999999999999898E-3</v>
      </c>
      <c r="G151" t="str">
        <f>exported_results[[#This Row],[a_node,b_node,c_node,asn_vol]]&amp;"_"&amp;exported_results[[#This Row],[b_node]]&amp;"_"&amp;exported_results[[#This Row],[c_node]]</f>
        <v>216_217_218</v>
      </c>
      <c r="H151" t="b">
        <f>exported_results[[#This Row],[a_node,b_node,c_node,asn_vol]]=exported_results[[#This Row],[c_node]]</f>
        <v>0</v>
      </c>
      <c r="J151">
        <v>216</v>
      </c>
      <c r="K151">
        <v>217</v>
      </c>
      <c r="L151">
        <v>218</v>
      </c>
      <c r="M151">
        <v>9.9999999999999898E-3</v>
      </c>
    </row>
    <row r="152" spans="3:13" x14ac:dyDescent="0.25">
      <c r="C152">
        <v>216</v>
      </c>
      <c r="D152">
        <v>217</v>
      </c>
      <c r="E152">
        <v>222</v>
      </c>
      <c r="F152">
        <v>9.9999999999999898E-3</v>
      </c>
      <c r="G152" t="str">
        <f>exported_results[[#This Row],[a_node,b_node,c_node,asn_vol]]&amp;"_"&amp;exported_results[[#This Row],[b_node]]&amp;"_"&amp;exported_results[[#This Row],[c_node]]</f>
        <v>216_217_222</v>
      </c>
      <c r="H152" t="b">
        <f>exported_results[[#This Row],[a_node,b_node,c_node,asn_vol]]=exported_results[[#This Row],[c_node]]</f>
        <v>0</v>
      </c>
      <c r="J152">
        <v>216</v>
      </c>
      <c r="K152">
        <v>217</v>
      </c>
      <c r="L152">
        <v>222</v>
      </c>
      <c r="M152">
        <v>9.9999999999999898E-3</v>
      </c>
    </row>
    <row r="153" spans="3:13" x14ac:dyDescent="0.25">
      <c r="C153">
        <v>128</v>
      </c>
      <c r="D153">
        <v>129</v>
      </c>
      <c r="E153">
        <v>130</v>
      </c>
      <c r="F153">
        <v>9.9999999999999898E-3</v>
      </c>
      <c r="G153" t="str">
        <f>exported_results[[#This Row],[a_node,b_node,c_node,asn_vol]]&amp;"_"&amp;exported_results[[#This Row],[b_node]]&amp;"_"&amp;exported_results[[#This Row],[c_node]]</f>
        <v>128_129_130</v>
      </c>
      <c r="H153" t="b">
        <f>exported_results[[#This Row],[a_node,b_node,c_node,asn_vol]]=exported_results[[#This Row],[c_node]]</f>
        <v>0</v>
      </c>
      <c r="J153">
        <v>128</v>
      </c>
      <c r="K153">
        <v>129</v>
      </c>
      <c r="L153">
        <v>130</v>
      </c>
      <c r="M153">
        <v>9.9999999999999898E-3</v>
      </c>
    </row>
    <row r="154" spans="3:13" x14ac:dyDescent="0.25">
      <c r="C154">
        <v>128</v>
      </c>
      <c r="D154">
        <v>129</v>
      </c>
      <c r="E154">
        <v>132</v>
      </c>
      <c r="F154">
        <v>9.9999999999999898E-3</v>
      </c>
      <c r="G154" t="str">
        <f>exported_results[[#This Row],[a_node,b_node,c_node,asn_vol]]&amp;"_"&amp;exported_results[[#This Row],[b_node]]&amp;"_"&amp;exported_results[[#This Row],[c_node]]</f>
        <v>128_129_132</v>
      </c>
      <c r="H154" t="b">
        <f>exported_results[[#This Row],[a_node,b_node,c_node,asn_vol]]=exported_results[[#This Row],[c_node]]</f>
        <v>0</v>
      </c>
      <c r="J154">
        <v>128</v>
      </c>
      <c r="K154">
        <v>129</v>
      </c>
      <c r="L154">
        <v>132</v>
      </c>
      <c r="M154">
        <v>9.9999999999999898E-3</v>
      </c>
    </row>
    <row r="155" spans="3:13" x14ac:dyDescent="0.25">
      <c r="C155">
        <v>212</v>
      </c>
      <c r="D155">
        <v>213</v>
      </c>
      <c r="E155">
        <v>216</v>
      </c>
      <c r="F155">
        <v>9.9999999999999898E-3</v>
      </c>
      <c r="G155" t="str">
        <f>exported_results[[#This Row],[a_node,b_node,c_node,asn_vol]]&amp;"_"&amp;exported_results[[#This Row],[b_node]]&amp;"_"&amp;exported_results[[#This Row],[c_node]]</f>
        <v>212_213_216</v>
      </c>
      <c r="H155" t="b">
        <f>exported_results[[#This Row],[a_node,b_node,c_node,asn_vol]]=exported_results[[#This Row],[c_node]]</f>
        <v>0</v>
      </c>
      <c r="J155">
        <v>212</v>
      </c>
      <c r="K155">
        <v>213</v>
      </c>
      <c r="L155">
        <v>216</v>
      </c>
      <c r="M155">
        <v>9.9999999999999898E-3</v>
      </c>
    </row>
    <row r="156" spans="3:13" x14ac:dyDescent="0.25">
      <c r="C156">
        <v>212</v>
      </c>
      <c r="D156">
        <v>213</v>
      </c>
      <c r="E156">
        <v>214</v>
      </c>
      <c r="F156">
        <v>9.9999999999999898E-3</v>
      </c>
      <c r="G156" t="str">
        <f>exported_results[[#This Row],[a_node,b_node,c_node,asn_vol]]&amp;"_"&amp;exported_results[[#This Row],[b_node]]&amp;"_"&amp;exported_results[[#This Row],[c_node]]</f>
        <v>212_213_214</v>
      </c>
      <c r="H156" t="b">
        <f>exported_results[[#This Row],[a_node,b_node,c_node,asn_vol]]=exported_results[[#This Row],[c_node]]</f>
        <v>0</v>
      </c>
      <c r="J156">
        <v>212</v>
      </c>
      <c r="K156">
        <v>213</v>
      </c>
      <c r="L156">
        <v>214</v>
      </c>
      <c r="M156">
        <v>9.9999999999999898E-3</v>
      </c>
    </row>
    <row r="157" spans="3:13" x14ac:dyDescent="0.25">
      <c r="C157">
        <v>223</v>
      </c>
      <c r="D157">
        <v>224</v>
      </c>
      <c r="E157">
        <v>225</v>
      </c>
      <c r="F157" s="29">
        <v>9.1935491270029696E-23</v>
      </c>
      <c r="G157" t="str">
        <f>exported_results[[#This Row],[a_node,b_node,c_node,asn_vol]]&amp;"_"&amp;exported_results[[#This Row],[b_node]]&amp;"_"&amp;exported_results[[#This Row],[c_node]]</f>
        <v>223_224_225</v>
      </c>
      <c r="H157" t="b">
        <f>exported_results[[#This Row],[a_node,b_node,c_node,asn_vol]]=exported_results[[#This Row],[c_node]]</f>
        <v>0</v>
      </c>
      <c r="J157">
        <v>223</v>
      </c>
      <c r="K157">
        <v>224</v>
      </c>
      <c r="L157">
        <v>225</v>
      </c>
      <c r="M157" s="29">
        <v>9.1935491270029696E-23</v>
      </c>
    </row>
    <row r="158" spans="3:13" x14ac:dyDescent="0.25">
      <c r="C158" s="33">
        <v>223</v>
      </c>
      <c r="D158">
        <v>224</v>
      </c>
      <c r="E158">
        <v>113</v>
      </c>
      <c r="F158">
        <v>467.5</v>
      </c>
      <c r="G158" t="str">
        <f>exported_results[[#This Row],[a_node,b_node,c_node,asn_vol]]&amp;"_"&amp;exported_results[[#This Row],[b_node]]&amp;"_"&amp;exported_results[[#This Row],[c_node]]</f>
        <v>223_224_113</v>
      </c>
      <c r="H158" t="b">
        <f>exported_results[[#This Row],[a_node,b_node,c_node,asn_vol]]=exported_results[[#This Row],[c_node]]</f>
        <v>0</v>
      </c>
      <c r="J158" s="33">
        <v>223</v>
      </c>
      <c r="K158">
        <v>224</v>
      </c>
      <c r="L158">
        <v>113</v>
      </c>
      <c r="M158">
        <v>467.5</v>
      </c>
    </row>
    <row r="159" spans="3:13" x14ac:dyDescent="0.25">
      <c r="C159">
        <v>223</v>
      </c>
      <c r="D159">
        <v>224</v>
      </c>
      <c r="E159">
        <v>508</v>
      </c>
      <c r="F159">
        <v>85</v>
      </c>
      <c r="G159" t="str">
        <f>exported_results[[#This Row],[a_node,b_node,c_node,asn_vol]]&amp;"_"&amp;exported_results[[#This Row],[b_node]]&amp;"_"&amp;exported_results[[#This Row],[c_node]]</f>
        <v>223_224_508</v>
      </c>
      <c r="H159" t="b">
        <f>exported_results[[#This Row],[a_node,b_node,c_node,asn_vol]]=exported_results[[#This Row],[c_node]]</f>
        <v>0</v>
      </c>
      <c r="J159">
        <v>223</v>
      </c>
      <c r="K159">
        <v>224</v>
      </c>
      <c r="L159">
        <v>508</v>
      </c>
      <c r="M159">
        <v>85</v>
      </c>
    </row>
    <row r="160" spans="3:13" x14ac:dyDescent="0.25">
      <c r="C160">
        <v>223</v>
      </c>
      <c r="D160">
        <v>225</v>
      </c>
      <c r="E160">
        <v>226</v>
      </c>
      <c r="F160">
        <v>9.9999999999999898E-3</v>
      </c>
      <c r="G160" t="str">
        <f>exported_results[[#This Row],[a_node,b_node,c_node,asn_vol]]&amp;"_"&amp;exported_results[[#This Row],[b_node]]&amp;"_"&amp;exported_results[[#This Row],[c_node]]</f>
        <v>223_225_226</v>
      </c>
      <c r="H160" t="b">
        <f>exported_results[[#This Row],[a_node,b_node,c_node,asn_vol]]=exported_results[[#This Row],[c_node]]</f>
        <v>0</v>
      </c>
      <c r="J160">
        <v>223</v>
      </c>
      <c r="K160">
        <v>225</v>
      </c>
      <c r="L160">
        <v>226</v>
      </c>
      <c r="M160">
        <v>9.9999999999999898E-3</v>
      </c>
    </row>
    <row r="161" spans="3:13" x14ac:dyDescent="0.25">
      <c r="C161">
        <v>224</v>
      </c>
      <c r="D161">
        <v>225</v>
      </c>
      <c r="E161">
        <v>226</v>
      </c>
      <c r="F161">
        <v>9.9999999999999898E-3</v>
      </c>
      <c r="G161" t="str">
        <f>exported_results[[#This Row],[a_node,b_node,c_node,asn_vol]]&amp;"_"&amp;exported_results[[#This Row],[b_node]]&amp;"_"&amp;exported_results[[#This Row],[c_node]]</f>
        <v>224_225_226</v>
      </c>
      <c r="H161" t="b">
        <f>exported_results[[#This Row],[a_node,b_node,c_node,asn_vol]]=exported_results[[#This Row],[c_node]]</f>
        <v>0</v>
      </c>
      <c r="J161">
        <v>224</v>
      </c>
      <c r="K161">
        <v>225</v>
      </c>
      <c r="L161">
        <v>226</v>
      </c>
      <c r="M161">
        <v>9.9999999999999898E-3</v>
      </c>
    </row>
    <row r="162" spans="3:13" x14ac:dyDescent="0.25">
      <c r="C162">
        <v>224</v>
      </c>
      <c r="D162">
        <v>113</v>
      </c>
      <c r="E162">
        <v>114</v>
      </c>
      <c r="F162">
        <v>85</v>
      </c>
      <c r="G162" t="str">
        <f>exported_results[[#This Row],[a_node,b_node,c_node,asn_vol]]&amp;"_"&amp;exported_results[[#This Row],[b_node]]&amp;"_"&amp;exported_results[[#This Row],[c_node]]</f>
        <v>224_113_114</v>
      </c>
      <c r="H162" t="b">
        <f>exported_results[[#This Row],[a_node,b_node,c_node,asn_vol]]=exported_results[[#This Row],[c_node]]</f>
        <v>0</v>
      </c>
      <c r="J162">
        <v>224</v>
      </c>
      <c r="K162">
        <v>113</v>
      </c>
      <c r="L162">
        <v>114</v>
      </c>
      <c r="M162">
        <v>85</v>
      </c>
    </row>
    <row r="163" spans="3:13" x14ac:dyDescent="0.25">
      <c r="C163">
        <v>224</v>
      </c>
      <c r="D163">
        <v>113</v>
      </c>
      <c r="E163">
        <v>224</v>
      </c>
      <c r="F163" s="29">
        <v>2.47278021397612E-26</v>
      </c>
      <c r="G163" t="str">
        <f>exported_results[[#This Row],[a_node,b_node,c_node,asn_vol]]&amp;"_"&amp;exported_results[[#This Row],[b_node]]&amp;"_"&amp;exported_results[[#This Row],[c_node]]</f>
        <v>224_113_224</v>
      </c>
      <c r="H163" t="b">
        <f>exported_results[[#This Row],[a_node,b_node,c_node,asn_vol]]=exported_results[[#This Row],[c_node]]</f>
        <v>1</v>
      </c>
      <c r="J163">
        <v>224</v>
      </c>
      <c r="K163">
        <v>113</v>
      </c>
      <c r="L163">
        <v>224</v>
      </c>
      <c r="M163" s="29">
        <v>2.47278021397612E-26</v>
      </c>
    </row>
    <row r="164" spans="3:13" x14ac:dyDescent="0.25">
      <c r="C164" s="33">
        <v>224</v>
      </c>
      <c r="D164">
        <v>113</v>
      </c>
      <c r="E164">
        <v>509</v>
      </c>
      <c r="F164">
        <v>1166.2527389726599</v>
      </c>
      <c r="G164" t="str">
        <f>exported_results[[#This Row],[a_node,b_node,c_node,asn_vol]]&amp;"_"&amp;exported_results[[#This Row],[b_node]]&amp;"_"&amp;exported_results[[#This Row],[c_node]]</f>
        <v>224_113_509</v>
      </c>
      <c r="H164" t="b">
        <f>exported_results[[#This Row],[a_node,b_node,c_node,asn_vol]]=exported_results[[#This Row],[c_node]]</f>
        <v>0</v>
      </c>
      <c r="J164" s="33">
        <v>224</v>
      </c>
      <c r="K164">
        <v>113</v>
      </c>
      <c r="L164">
        <v>509</v>
      </c>
      <c r="M164">
        <v>1166.2527389726599</v>
      </c>
    </row>
    <row r="165" spans="3:13" x14ac:dyDescent="0.25">
      <c r="C165">
        <v>205</v>
      </c>
      <c r="D165">
        <v>208</v>
      </c>
      <c r="E165">
        <v>209</v>
      </c>
      <c r="F165">
        <v>9.9999999999999898E-3</v>
      </c>
      <c r="G165" t="str">
        <f>exported_results[[#This Row],[a_node,b_node,c_node,asn_vol]]&amp;"_"&amp;exported_results[[#This Row],[b_node]]&amp;"_"&amp;exported_results[[#This Row],[c_node]]</f>
        <v>205_208_209</v>
      </c>
      <c r="H165" t="b">
        <f>exported_results[[#This Row],[a_node,b_node,c_node,asn_vol]]=exported_results[[#This Row],[c_node]]</f>
        <v>0</v>
      </c>
      <c r="J165">
        <v>205</v>
      </c>
      <c r="K165">
        <v>208</v>
      </c>
      <c r="L165">
        <v>209</v>
      </c>
      <c r="M165">
        <v>9.9999999999999898E-3</v>
      </c>
    </row>
    <row r="166" spans="3:13" x14ac:dyDescent="0.25">
      <c r="C166">
        <v>208</v>
      </c>
      <c r="D166">
        <v>209</v>
      </c>
      <c r="E166">
        <v>212</v>
      </c>
      <c r="F166">
        <v>9.9999999999999898E-3</v>
      </c>
      <c r="G166" t="str">
        <f>exported_results[[#This Row],[a_node,b_node,c_node,asn_vol]]&amp;"_"&amp;exported_results[[#This Row],[b_node]]&amp;"_"&amp;exported_results[[#This Row],[c_node]]</f>
        <v>208_209_212</v>
      </c>
      <c r="H166" t="b">
        <f>exported_results[[#This Row],[a_node,b_node,c_node,asn_vol]]=exported_results[[#This Row],[c_node]]</f>
        <v>0</v>
      </c>
      <c r="J166">
        <v>208</v>
      </c>
      <c r="K166">
        <v>209</v>
      </c>
      <c r="L166">
        <v>212</v>
      </c>
      <c r="M166">
        <v>9.9999999999999898E-3</v>
      </c>
    </row>
    <row r="167" spans="3:13" x14ac:dyDescent="0.25">
      <c r="C167">
        <v>208</v>
      </c>
      <c r="D167">
        <v>209</v>
      </c>
      <c r="E167">
        <v>210</v>
      </c>
      <c r="F167">
        <v>9.9999999999999898E-3</v>
      </c>
      <c r="G167" t="str">
        <f>exported_results[[#This Row],[a_node,b_node,c_node,asn_vol]]&amp;"_"&amp;exported_results[[#This Row],[b_node]]&amp;"_"&amp;exported_results[[#This Row],[c_node]]</f>
        <v>208_209_210</v>
      </c>
      <c r="H167" t="b">
        <f>exported_results[[#This Row],[a_node,b_node,c_node,asn_vol]]=exported_results[[#This Row],[c_node]]</f>
        <v>0</v>
      </c>
      <c r="J167">
        <v>208</v>
      </c>
      <c r="K167">
        <v>209</v>
      </c>
      <c r="L167">
        <v>210</v>
      </c>
      <c r="M167">
        <v>9.9999999999999898E-3</v>
      </c>
    </row>
    <row r="168" spans="3:13" x14ac:dyDescent="0.25">
      <c r="C168">
        <v>213</v>
      </c>
      <c r="D168">
        <v>216</v>
      </c>
      <c r="E168">
        <v>217</v>
      </c>
      <c r="F168">
        <v>9.9999999999999898E-3</v>
      </c>
      <c r="G168" t="str">
        <f>exported_results[[#This Row],[a_node,b_node,c_node,asn_vol]]&amp;"_"&amp;exported_results[[#This Row],[b_node]]&amp;"_"&amp;exported_results[[#This Row],[c_node]]</f>
        <v>213_216_217</v>
      </c>
      <c r="H168" t="b">
        <f>exported_results[[#This Row],[a_node,b_node,c_node,asn_vol]]=exported_results[[#This Row],[c_node]]</f>
        <v>0</v>
      </c>
      <c r="J168">
        <v>213</v>
      </c>
      <c r="K168">
        <v>216</v>
      </c>
      <c r="L168">
        <v>217</v>
      </c>
      <c r="M168">
        <v>9.9999999999999898E-3</v>
      </c>
    </row>
    <row r="169" spans="3:13" x14ac:dyDescent="0.25">
      <c r="C169">
        <v>209</v>
      </c>
      <c r="D169">
        <v>212</v>
      </c>
      <c r="E169">
        <v>213</v>
      </c>
      <c r="F169">
        <v>9.9999999999999898E-3</v>
      </c>
      <c r="G169" t="str">
        <f>exported_results[[#This Row],[a_node,b_node,c_node,asn_vol]]&amp;"_"&amp;exported_results[[#This Row],[b_node]]&amp;"_"&amp;exported_results[[#This Row],[c_node]]</f>
        <v>209_212_213</v>
      </c>
      <c r="H169" t="b">
        <f>exported_results[[#This Row],[a_node,b_node,c_node,asn_vol]]=exported_results[[#This Row],[c_node]]</f>
        <v>0</v>
      </c>
      <c r="J169">
        <v>209</v>
      </c>
      <c r="K169">
        <v>212</v>
      </c>
      <c r="L169">
        <v>213</v>
      </c>
      <c r="M169">
        <v>9.9999999999999898E-3</v>
      </c>
    </row>
    <row r="170" spans="3:13" x14ac:dyDescent="0.25">
      <c r="C170">
        <v>200</v>
      </c>
      <c r="D170">
        <v>201</v>
      </c>
      <c r="E170">
        <v>204</v>
      </c>
      <c r="F170">
        <v>9.9999999999999898E-3</v>
      </c>
      <c r="G170" t="str">
        <f>exported_results[[#This Row],[a_node,b_node,c_node,asn_vol]]&amp;"_"&amp;exported_results[[#This Row],[b_node]]&amp;"_"&amp;exported_results[[#This Row],[c_node]]</f>
        <v>200_201_204</v>
      </c>
      <c r="H170" t="b">
        <f>exported_results[[#This Row],[a_node,b_node,c_node,asn_vol]]=exported_results[[#This Row],[c_node]]</f>
        <v>0</v>
      </c>
      <c r="J170">
        <v>200</v>
      </c>
      <c r="K170">
        <v>201</v>
      </c>
      <c r="L170">
        <v>204</v>
      </c>
      <c r="M170">
        <v>9.9999999999999898E-3</v>
      </c>
    </row>
    <row r="171" spans="3:13" x14ac:dyDescent="0.25">
      <c r="C171">
        <v>200</v>
      </c>
      <c r="D171">
        <v>201</v>
      </c>
      <c r="E171">
        <v>202</v>
      </c>
      <c r="F171">
        <v>9.9999999999999898E-3</v>
      </c>
      <c r="G171" t="str">
        <f>exported_results[[#This Row],[a_node,b_node,c_node,asn_vol]]&amp;"_"&amp;exported_results[[#This Row],[b_node]]&amp;"_"&amp;exported_results[[#This Row],[c_node]]</f>
        <v>200_201_202</v>
      </c>
      <c r="H171" t="b">
        <f>exported_results[[#This Row],[a_node,b_node,c_node,asn_vol]]=exported_results[[#This Row],[c_node]]</f>
        <v>0</v>
      </c>
      <c r="J171">
        <v>200</v>
      </c>
      <c r="K171">
        <v>201</v>
      </c>
      <c r="L171">
        <v>202</v>
      </c>
      <c r="M171">
        <v>9.9999999999999898E-3</v>
      </c>
    </row>
    <row r="172" spans="3:13" x14ac:dyDescent="0.25">
      <c r="C172">
        <v>201</v>
      </c>
      <c r="D172">
        <v>204</v>
      </c>
      <c r="E172">
        <v>205</v>
      </c>
      <c r="F172">
        <v>9.9999999999999898E-3</v>
      </c>
      <c r="G172" t="str">
        <f>exported_results[[#This Row],[a_node,b_node,c_node,asn_vol]]&amp;"_"&amp;exported_results[[#This Row],[b_node]]&amp;"_"&amp;exported_results[[#This Row],[c_node]]</f>
        <v>201_204_205</v>
      </c>
      <c r="H172" t="b">
        <f>exported_results[[#This Row],[a_node,b_node,c_node,asn_vol]]=exported_results[[#This Row],[c_node]]</f>
        <v>0</v>
      </c>
      <c r="J172">
        <v>201</v>
      </c>
      <c r="K172">
        <v>204</v>
      </c>
      <c r="L172">
        <v>205</v>
      </c>
      <c r="M172">
        <v>9.9999999999999898E-3</v>
      </c>
    </row>
    <row r="173" spans="3:13" x14ac:dyDescent="0.25">
      <c r="C173">
        <v>204</v>
      </c>
      <c r="D173">
        <v>205</v>
      </c>
      <c r="E173">
        <v>208</v>
      </c>
      <c r="F173">
        <v>9.9999999999999898E-3</v>
      </c>
      <c r="G173" t="str">
        <f>exported_results[[#This Row],[a_node,b_node,c_node,asn_vol]]&amp;"_"&amp;exported_results[[#This Row],[b_node]]&amp;"_"&amp;exported_results[[#This Row],[c_node]]</f>
        <v>204_205_208</v>
      </c>
      <c r="H173" t="b">
        <f>exported_results[[#This Row],[a_node,b_node,c_node,asn_vol]]=exported_results[[#This Row],[c_node]]</f>
        <v>0</v>
      </c>
      <c r="J173">
        <v>204</v>
      </c>
      <c r="K173">
        <v>205</v>
      </c>
      <c r="L173">
        <v>208</v>
      </c>
      <c r="M173">
        <v>9.9999999999999898E-3</v>
      </c>
    </row>
    <row r="174" spans="3:13" x14ac:dyDescent="0.25">
      <c r="C174">
        <v>204</v>
      </c>
      <c r="D174">
        <v>205</v>
      </c>
      <c r="E174">
        <v>206</v>
      </c>
      <c r="F174">
        <v>9.9999999999999898E-3</v>
      </c>
      <c r="G174" t="str">
        <f>exported_results[[#This Row],[a_node,b_node,c_node,asn_vol]]&amp;"_"&amp;exported_results[[#This Row],[b_node]]&amp;"_"&amp;exported_results[[#This Row],[c_node]]</f>
        <v>204_205_206</v>
      </c>
      <c r="H174" t="b">
        <f>exported_results[[#This Row],[a_node,b_node,c_node,asn_vol]]=exported_results[[#This Row],[c_node]]</f>
        <v>0</v>
      </c>
      <c r="J174">
        <v>204</v>
      </c>
      <c r="K174">
        <v>205</v>
      </c>
      <c r="L174">
        <v>206</v>
      </c>
      <c r="M174">
        <v>9.9999999999999898E-3</v>
      </c>
    </row>
    <row r="175" spans="3:13" x14ac:dyDescent="0.25">
      <c r="C175">
        <v>323</v>
      </c>
      <c r="D175">
        <v>324</v>
      </c>
      <c r="E175">
        <v>325</v>
      </c>
      <c r="F175">
        <v>9.9999999999999898E-3</v>
      </c>
      <c r="G175" t="str">
        <f>exported_results[[#This Row],[a_node,b_node,c_node,asn_vol]]&amp;"_"&amp;exported_results[[#This Row],[b_node]]&amp;"_"&amp;exported_results[[#This Row],[c_node]]</f>
        <v>323_324_325</v>
      </c>
      <c r="H175" t="b">
        <f>exported_results[[#This Row],[a_node,b_node,c_node,asn_vol]]=exported_results[[#This Row],[c_node]]</f>
        <v>0</v>
      </c>
      <c r="J175">
        <v>323</v>
      </c>
      <c r="K175">
        <v>324</v>
      </c>
      <c r="L175">
        <v>325</v>
      </c>
      <c r="M175">
        <v>9.9999999999999898E-3</v>
      </c>
    </row>
    <row r="176" spans="3:13" x14ac:dyDescent="0.25">
      <c r="C176" s="33">
        <v>323</v>
      </c>
      <c r="D176">
        <v>405</v>
      </c>
      <c r="E176">
        <v>406</v>
      </c>
      <c r="F176">
        <v>297.5</v>
      </c>
      <c r="G176" t="str">
        <f>exported_results[[#This Row],[a_node,b_node,c_node,asn_vol]]&amp;"_"&amp;exported_results[[#This Row],[b_node]]&amp;"_"&amp;exported_results[[#This Row],[c_node]]</f>
        <v>323_405_406</v>
      </c>
      <c r="H176" t="b">
        <f>exported_results[[#This Row],[a_node,b_node,c_node,asn_vol]]=exported_results[[#This Row],[c_node]]</f>
        <v>0</v>
      </c>
      <c r="J176" s="33">
        <v>323</v>
      </c>
      <c r="K176">
        <v>405</v>
      </c>
      <c r="L176">
        <v>406</v>
      </c>
      <c r="M176">
        <v>297.5</v>
      </c>
    </row>
    <row r="177" spans="3:13" x14ac:dyDescent="0.25">
      <c r="C177">
        <v>323</v>
      </c>
      <c r="D177">
        <v>405</v>
      </c>
      <c r="E177">
        <v>323</v>
      </c>
      <c r="F177">
        <v>9.9999999999999898E-3</v>
      </c>
      <c r="G177" t="str">
        <f>exported_results[[#This Row],[a_node,b_node,c_node,asn_vol]]&amp;"_"&amp;exported_results[[#This Row],[b_node]]&amp;"_"&amp;exported_results[[#This Row],[c_node]]</f>
        <v>323_405_323</v>
      </c>
      <c r="H177" t="b">
        <f>exported_results[[#This Row],[a_node,b_node,c_node,asn_vol]]=exported_results[[#This Row],[c_node]]</f>
        <v>1</v>
      </c>
      <c r="J177">
        <v>323</v>
      </c>
      <c r="K177">
        <v>405</v>
      </c>
      <c r="L177">
        <v>323</v>
      </c>
      <c r="M177">
        <v>9.9999999999999898E-3</v>
      </c>
    </row>
    <row r="178" spans="3:13" x14ac:dyDescent="0.25">
      <c r="C178" s="33">
        <v>323</v>
      </c>
      <c r="D178">
        <v>405</v>
      </c>
      <c r="E178">
        <v>514</v>
      </c>
      <c r="F178">
        <v>574.99999999999898</v>
      </c>
      <c r="G178" t="str">
        <f>exported_results[[#This Row],[a_node,b_node,c_node,asn_vol]]&amp;"_"&amp;exported_results[[#This Row],[b_node]]&amp;"_"&amp;exported_results[[#This Row],[c_node]]</f>
        <v>323_405_514</v>
      </c>
      <c r="H178" t="b">
        <f>exported_results[[#This Row],[a_node,b_node,c_node,asn_vol]]=exported_results[[#This Row],[c_node]]</f>
        <v>0</v>
      </c>
      <c r="J178" s="33">
        <v>323</v>
      </c>
      <c r="K178">
        <v>405</v>
      </c>
      <c r="L178">
        <v>514</v>
      </c>
      <c r="M178">
        <v>574.99999999999898</v>
      </c>
    </row>
    <row r="179" spans="3:13" x14ac:dyDescent="0.25">
      <c r="C179">
        <v>323</v>
      </c>
      <c r="D179">
        <v>510</v>
      </c>
      <c r="E179">
        <v>323</v>
      </c>
      <c r="F179" s="29">
        <v>3.9803429966057903E-20</v>
      </c>
      <c r="G179" t="str">
        <f>exported_results[[#This Row],[a_node,b_node,c_node,asn_vol]]&amp;"_"&amp;exported_results[[#This Row],[b_node]]&amp;"_"&amp;exported_results[[#This Row],[c_node]]</f>
        <v>323_510_323</v>
      </c>
      <c r="H179" t="b">
        <f>exported_results[[#This Row],[a_node,b_node,c_node,asn_vol]]=exported_results[[#This Row],[c_node]]</f>
        <v>1</v>
      </c>
      <c r="J179">
        <v>323</v>
      </c>
      <c r="K179">
        <v>510</v>
      </c>
      <c r="L179">
        <v>323</v>
      </c>
      <c r="M179" s="29">
        <v>3.9803429966057903E-20</v>
      </c>
    </row>
    <row r="180" spans="3:13" x14ac:dyDescent="0.25">
      <c r="C180" s="33">
        <v>323</v>
      </c>
      <c r="D180">
        <v>510</v>
      </c>
      <c r="E180">
        <v>505</v>
      </c>
      <c r="F180">
        <v>680</v>
      </c>
      <c r="G180" t="str">
        <f>exported_results[[#This Row],[a_node,b_node,c_node,asn_vol]]&amp;"_"&amp;exported_results[[#This Row],[b_node]]&amp;"_"&amp;exported_results[[#This Row],[c_node]]</f>
        <v>323_510_505</v>
      </c>
      <c r="H180" t="b">
        <f>exported_results[[#This Row],[a_node,b_node,c_node,asn_vol]]=exported_results[[#This Row],[c_node]]</f>
        <v>0</v>
      </c>
      <c r="J180" s="33">
        <v>323</v>
      </c>
      <c r="K180">
        <v>510</v>
      </c>
      <c r="L180">
        <v>505</v>
      </c>
      <c r="M180">
        <v>680</v>
      </c>
    </row>
    <row r="181" spans="3:13" x14ac:dyDescent="0.25">
      <c r="C181" s="33">
        <v>323</v>
      </c>
      <c r="D181">
        <v>510</v>
      </c>
      <c r="E181">
        <v>509</v>
      </c>
      <c r="F181">
        <v>212.5</v>
      </c>
      <c r="G181" t="str">
        <f>exported_results[[#This Row],[a_node,b_node,c_node,asn_vol]]&amp;"_"&amp;exported_results[[#This Row],[b_node]]&amp;"_"&amp;exported_results[[#This Row],[c_node]]</f>
        <v>323_510_509</v>
      </c>
      <c r="H181" t="b">
        <f>exported_results[[#This Row],[a_node,b_node,c_node,asn_vol]]=exported_results[[#This Row],[c_node]]</f>
        <v>0</v>
      </c>
      <c r="J181" s="33">
        <v>323</v>
      </c>
      <c r="K181">
        <v>510</v>
      </c>
      <c r="L181">
        <v>509</v>
      </c>
      <c r="M181">
        <v>212.5</v>
      </c>
    </row>
    <row r="182" spans="3:13" x14ac:dyDescent="0.25">
      <c r="C182">
        <v>323</v>
      </c>
      <c r="D182">
        <v>510</v>
      </c>
      <c r="E182">
        <v>511</v>
      </c>
      <c r="F182">
        <v>42.5</v>
      </c>
      <c r="G182" t="str">
        <f>exported_results[[#This Row],[a_node,b_node,c_node,asn_vol]]&amp;"_"&amp;exported_results[[#This Row],[b_node]]&amp;"_"&amp;exported_results[[#This Row],[c_node]]</f>
        <v>323_510_511</v>
      </c>
      <c r="H182" t="b">
        <f>exported_results[[#This Row],[a_node,b_node,c_node,asn_vol]]=exported_results[[#This Row],[c_node]]</f>
        <v>0</v>
      </c>
      <c r="J182">
        <v>323</v>
      </c>
      <c r="K182">
        <v>510</v>
      </c>
      <c r="L182">
        <v>511</v>
      </c>
      <c r="M182">
        <v>42.5</v>
      </c>
    </row>
    <row r="183" spans="3:13" x14ac:dyDescent="0.25">
      <c r="C183" s="33">
        <v>510</v>
      </c>
      <c r="D183">
        <v>323</v>
      </c>
      <c r="E183">
        <v>324</v>
      </c>
      <c r="F183">
        <v>127.5</v>
      </c>
      <c r="G183" t="str">
        <f>exported_results[[#This Row],[a_node,b_node,c_node,asn_vol]]&amp;"_"&amp;exported_results[[#This Row],[b_node]]&amp;"_"&amp;exported_results[[#This Row],[c_node]]</f>
        <v>510_323_324</v>
      </c>
      <c r="H183" t="b">
        <f>exported_results[[#This Row],[a_node,b_node,c_node,asn_vol]]=exported_results[[#This Row],[c_node]]</f>
        <v>0</v>
      </c>
      <c r="J183" s="33">
        <v>510</v>
      </c>
      <c r="K183">
        <v>323</v>
      </c>
      <c r="L183">
        <v>324</v>
      </c>
      <c r="M183">
        <v>127.5</v>
      </c>
    </row>
    <row r="184" spans="3:13" x14ac:dyDescent="0.25">
      <c r="C184" s="33">
        <v>510</v>
      </c>
      <c r="D184">
        <v>323</v>
      </c>
      <c r="E184">
        <v>405</v>
      </c>
      <c r="F184">
        <v>733.75000000002206</v>
      </c>
      <c r="G184" t="str">
        <f>exported_results[[#This Row],[a_node,b_node,c_node,asn_vol]]&amp;"_"&amp;exported_results[[#This Row],[b_node]]&amp;"_"&amp;exported_results[[#This Row],[c_node]]</f>
        <v>510_323_405</v>
      </c>
      <c r="H184" t="b">
        <f>exported_results[[#This Row],[a_node,b_node,c_node,asn_vol]]=exported_results[[#This Row],[c_node]]</f>
        <v>0</v>
      </c>
      <c r="J184" s="33">
        <v>510</v>
      </c>
      <c r="K184">
        <v>323</v>
      </c>
      <c r="L184">
        <v>405</v>
      </c>
      <c r="M184">
        <v>733.75000000002206</v>
      </c>
    </row>
    <row r="185" spans="3:13" x14ac:dyDescent="0.25">
      <c r="C185">
        <v>510</v>
      </c>
      <c r="D185">
        <v>323</v>
      </c>
      <c r="E185">
        <v>510</v>
      </c>
      <c r="F185">
        <v>9.9999999999999898E-3</v>
      </c>
      <c r="G185" t="str">
        <f>exported_results[[#This Row],[a_node,b_node,c_node,asn_vol]]&amp;"_"&amp;exported_results[[#This Row],[b_node]]&amp;"_"&amp;exported_results[[#This Row],[c_node]]</f>
        <v>510_323_510</v>
      </c>
      <c r="H185" t="b">
        <f>exported_results[[#This Row],[a_node,b_node,c_node,asn_vol]]=exported_results[[#This Row],[c_node]]</f>
        <v>1</v>
      </c>
      <c r="J185">
        <v>510</v>
      </c>
      <c r="K185">
        <v>323</v>
      </c>
      <c r="L185">
        <v>510</v>
      </c>
      <c r="M185">
        <v>9.9999999999999898E-3</v>
      </c>
    </row>
    <row r="186" spans="3:13" x14ac:dyDescent="0.25">
      <c r="C186">
        <v>510</v>
      </c>
      <c r="D186">
        <v>505</v>
      </c>
      <c r="E186">
        <v>510</v>
      </c>
      <c r="F186" s="29">
        <v>2.31761953270524E-21</v>
      </c>
      <c r="G186" t="str">
        <f>exported_results[[#This Row],[a_node,b_node,c_node,asn_vol]]&amp;"_"&amp;exported_results[[#This Row],[b_node]]&amp;"_"&amp;exported_results[[#This Row],[c_node]]</f>
        <v>510_505_510</v>
      </c>
      <c r="H186" t="b">
        <f>exported_results[[#This Row],[a_node,b_node,c_node,asn_vol]]=exported_results[[#This Row],[c_node]]</f>
        <v>1</v>
      </c>
      <c r="J186">
        <v>510</v>
      </c>
      <c r="K186">
        <v>505</v>
      </c>
      <c r="L186">
        <v>510</v>
      </c>
      <c r="M186" s="29">
        <v>2.31761953270524E-21</v>
      </c>
    </row>
    <row r="187" spans="3:13" x14ac:dyDescent="0.25">
      <c r="C187" s="33">
        <v>510</v>
      </c>
      <c r="D187">
        <v>505</v>
      </c>
      <c r="E187">
        <v>501</v>
      </c>
      <c r="F187">
        <v>850</v>
      </c>
      <c r="G187" t="str">
        <f>exported_results[[#This Row],[a_node,b_node,c_node,asn_vol]]&amp;"_"&amp;exported_results[[#This Row],[b_node]]&amp;"_"&amp;exported_results[[#This Row],[c_node]]</f>
        <v>510_505_501</v>
      </c>
      <c r="H187" t="b">
        <f>exported_results[[#This Row],[a_node,b_node,c_node,asn_vol]]=exported_results[[#This Row],[c_node]]</f>
        <v>0</v>
      </c>
      <c r="J187" s="33">
        <v>510</v>
      </c>
      <c r="K187">
        <v>505</v>
      </c>
      <c r="L187">
        <v>501</v>
      </c>
      <c r="M187">
        <v>850</v>
      </c>
    </row>
    <row r="188" spans="3:13" x14ac:dyDescent="0.25">
      <c r="C188">
        <v>510</v>
      </c>
      <c r="D188">
        <v>505</v>
      </c>
      <c r="E188">
        <v>504</v>
      </c>
      <c r="F188">
        <v>85</v>
      </c>
      <c r="G188" t="str">
        <f>exported_results[[#This Row],[a_node,b_node,c_node,asn_vol]]&amp;"_"&amp;exported_results[[#This Row],[b_node]]&amp;"_"&amp;exported_results[[#This Row],[c_node]]</f>
        <v>510_505_504</v>
      </c>
      <c r="H188" t="b">
        <f>exported_results[[#This Row],[a_node,b_node,c_node,asn_vol]]=exported_results[[#This Row],[c_node]]</f>
        <v>0</v>
      </c>
      <c r="J188">
        <v>510</v>
      </c>
      <c r="K188">
        <v>505</v>
      </c>
      <c r="L188">
        <v>504</v>
      </c>
      <c r="M188">
        <v>85</v>
      </c>
    </row>
    <row r="189" spans="3:13" x14ac:dyDescent="0.25">
      <c r="C189">
        <v>510</v>
      </c>
      <c r="D189">
        <v>505</v>
      </c>
      <c r="E189">
        <v>506</v>
      </c>
      <c r="F189">
        <v>54.999999999986301</v>
      </c>
      <c r="G189" t="str">
        <f>exported_results[[#This Row],[a_node,b_node,c_node,asn_vol]]&amp;"_"&amp;exported_results[[#This Row],[b_node]]&amp;"_"&amp;exported_results[[#This Row],[c_node]]</f>
        <v>510_505_506</v>
      </c>
      <c r="H189" t="b">
        <f>exported_results[[#This Row],[a_node,b_node,c_node,asn_vol]]=exported_results[[#This Row],[c_node]]</f>
        <v>0</v>
      </c>
      <c r="J189">
        <v>510</v>
      </c>
      <c r="K189">
        <v>505</v>
      </c>
      <c r="L189">
        <v>506</v>
      </c>
      <c r="M189">
        <v>54.999999999986301</v>
      </c>
    </row>
    <row r="190" spans="3:13" x14ac:dyDescent="0.25">
      <c r="C190">
        <v>510</v>
      </c>
      <c r="D190">
        <v>509</v>
      </c>
      <c r="E190">
        <v>320</v>
      </c>
      <c r="F190">
        <v>85</v>
      </c>
      <c r="G190" t="str">
        <f>exported_results[[#This Row],[a_node,b_node,c_node,asn_vol]]&amp;"_"&amp;exported_results[[#This Row],[b_node]]&amp;"_"&amp;exported_results[[#This Row],[c_node]]</f>
        <v>510_509_320</v>
      </c>
      <c r="H190" t="b">
        <f>exported_results[[#This Row],[a_node,b_node,c_node,asn_vol]]=exported_results[[#This Row],[c_node]]</f>
        <v>0</v>
      </c>
      <c r="J190">
        <v>510</v>
      </c>
      <c r="K190">
        <v>509</v>
      </c>
      <c r="L190">
        <v>320</v>
      </c>
      <c r="M190">
        <v>85</v>
      </c>
    </row>
    <row r="191" spans="3:13" x14ac:dyDescent="0.25">
      <c r="C191">
        <v>510</v>
      </c>
      <c r="D191">
        <v>509</v>
      </c>
      <c r="E191">
        <v>504</v>
      </c>
      <c r="F191">
        <v>57.499999999999901</v>
      </c>
      <c r="G191" t="str">
        <f>exported_results[[#This Row],[a_node,b_node,c_node,asn_vol]]&amp;"_"&amp;exported_results[[#This Row],[b_node]]&amp;"_"&amp;exported_results[[#This Row],[c_node]]</f>
        <v>510_509_504</v>
      </c>
      <c r="H191" t="b">
        <f>exported_results[[#This Row],[a_node,b_node,c_node,asn_vol]]=exported_results[[#This Row],[c_node]]</f>
        <v>0</v>
      </c>
      <c r="J191">
        <v>510</v>
      </c>
      <c r="K191">
        <v>509</v>
      </c>
      <c r="L191">
        <v>504</v>
      </c>
      <c r="M191">
        <v>57.499999999999901</v>
      </c>
    </row>
    <row r="192" spans="3:13" x14ac:dyDescent="0.25">
      <c r="C192" s="33">
        <v>510</v>
      </c>
      <c r="D192">
        <v>509</v>
      </c>
      <c r="E192">
        <v>113</v>
      </c>
      <c r="F192">
        <v>930.83333333334804</v>
      </c>
      <c r="G192" t="str">
        <f>exported_results[[#This Row],[a_node,b_node,c_node,asn_vol]]&amp;"_"&amp;exported_results[[#This Row],[b_node]]&amp;"_"&amp;exported_results[[#This Row],[c_node]]</f>
        <v>510_509_113</v>
      </c>
      <c r="H192" t="b">
        <f>exported_results[[#This Row],[a_node,b_node,c_node,asn_vol]]=exported_results[[#This Row],[c_node]]</f>
        <v>0</v>
      </c>
      <c r="J192" s="33">
        <v>510</v>
      </c>
      <c r="K192">
        <v>509</v>
      </c>
      <c r="L192">
        <v>113</v>
      </c>
      <c r="M192">
        <v>930.83333333334804</v>
      </c>
    </row>
    <row r="193" spans="3:13" x14ac:dyDescent="0.25">
      <c r="C193">
        <v>510</v>
      </c>
      <c r="D193">
        <v>509</v>
      </c>
      <c r="E193">
        <v>510</v>
      </c>
      <c r="F193">
        <v>9.9999999999999898E-3</v>
      </c>
      <c r="G193" t="str">
        <f>exported_results[[#This Row],[a_node,b_node,c_node,asn_vol]]&amp;"_"&amp;exported_results[[#This Row],[b_node]]&amp;"_"&amp;exported_results[[#This Row],[c_node]]</f>
        <v>510_509_510</v>
      </c>
      <c r="H193" t="b">
        <f>exported_results[[#This Row],[a_node,b_node,c_node,asn_vol]]=exported_results[[#This Row],[c_node]]</f>
        <v>1</v>
      </c>
      <c r="J193">
        <v>510</v>
      </c>
      <c r="K193">
        <v>509</v>
      </c>
      <c r="L193">
        <v>510</v>
      </c>
      <c r="M193">
        <v>9.9999999999999898E-3</v>
      </c>
    </row>
    <row r="194" spans="3:13" x14ac:dyDescent="0.25">
      <c r="C194">
        <v>510</v>
      </c>
      <c r="D194">
        <v>511</v>
      </c>
      <c r="E194">
        <v>326</v>
      </c>
      <c r="F194">
        <v>87.471627050432602</v>
      </c>
      <c r="G194" t="str">
        <f>exported_results[[#This Row],[a_node,b_node,c_node,asn_vol]]&amp;"_"&amp;exported_results[[#This Row],[b_node]]&amp;"_"&amp;exported_results[[#This Row],[c_node]]</f>
        <v>510_511_326</v>
      </c>
      <c r="H194" t="b">
        <f>exported_results[[#This Row],[a_node,b_node,c_node,asn_vol]]=exported_results[[#This Row],[c_node]]</f>
        <v>0</v>
      </c>
      <c r="J194">
        <v>510</v>
      </c>
      <c r="K194">
        <v>511</v>
      </c>
      <c r="L194">
        <v>326</v>
      </c>
      <c r="M194">
        <v>87.471627050432602</v>
      </c>
    </row>
    <row r="195" spans="3:13" x14ac:dyDescent="0.25">
      <c r="C195" s="33">
        <v>510</v>
      </c>
      <c r="D195">
        <v>511</v>
      </c>
      <c r="E195">
        <v>506</v>
      </c>
      <c r="F195">
        <v>328.49728160323599</v>
      </c>
      <c r="G195" t="str">
        <f>exported_results[[#This Row],[a_node,b_node,c_node,asn_vol]]&amp;"_"&amp;exported_results[[#This Row],[b_node]]&amp;"_"&amp;exported_results[[#This Row],[c_node]]</f>
        <v>510_511_506</v>
      </c>
      <c r="H195" t="b">
        <f>exported_results[[#This Row],[a_node,b_node,c_node,asn_vol]]=exported_results[[#This Row],[c_node]]</f>
        <v>0</v>
      </c>
      <c r="J195" s="33">
        <v>510</v>
      </c>
      <c r="K195">
        <v>511</v>
      </c>
      <c r="L195">
        <v>506</v>
      </c>
      <c r="M195">
        <v>328.49728160323599</v>
      </c>
    </row>
    <row r="196" spans="3:13" x14ac:dyDescent="0.25">
      <c r="C196">
        <v>510</v>
      </c>
      <c r="D196">
        <v>511</v>
      </c>
      <c r="E196">
        <v>510</v>
      </c>
      <c r="F196" s="29">
        <v>5.15645321252384E-5</v>
      </c>
      <c r="G196" t="str">
        <f>exported_results[[#This Row],[a_node,b_node,c_node,asn_vol]]&amp;"_"&amp;exported_results[[#This Row],[b_node]]&amp;"_"&amp;exported_results[[#This Row],[c_node]]</f>
        <v>510_511_510</v>
      </c>
      <c r="H196" t="b">
        <f>exported_results[[#This Row],[a_node,b_node,c_node,asn_vol]]=exported_results[[#This Row],[c_node]]</f>
        <v>1</v>
      </c>
      <c r="J196">
        <v>510</v>
      </c>
      <c r="K196">
        <v>511</v>
      </c>
      <c r="L196">
        <v>510</v>
      </c>
      <c r="M196" s="29">
        <v>5.15645321252384E-5</v>
      </c>
    </row>
    <row r="197" spans="3:13" x14ac:dyDescent="0.25">
      <c r="C197" s="33">
        <v>510</v>
      </c>
      <c r="D197">
        <v>511</v>
      </c>
      <c r="E197">
        <v>512</v>
      </c>
      <c r="F197">
        <v>1224.97916683582</v>
      </c>
      <c r="G197" t="str">
        <f>exported_results[[#This Row],[a_node,b_node,c_node,asn_vol]]&amp;"_"&amp;exported_results[[#This Row],[b_node]]&amp;"_"&amp;exported_results[[#This Row],[c_node]]</f>
        <v>510_511_512</v>
      </c>
      <c r="H197" t="b">
        <f>exported_results[[#This Row],[a_node,b_node,c_node,asn_vol]]=exported_results[[#This Row],[c_node]]</f>
        <v>0</v>
      </c>
      <c r="J197" s="33">
        <v>510</v>
      </c>
      <c r="K197">
        <v>511</v>
      </c>
      <c r="L197">
        <v>512</v>
      </c>
      <c r="M197">
        <v>1224.97916683582</v>
      </c>
    </row>
    <row r="198" spans="3:13" x14ac:dyDescent="0.25">
      <c r="C198">
        <v>135</v>
      </c>
      <c r="D198">
        <v>136</v>
      </c>
      <c r="E198">
        <v>137</v>
      </c>
      <c r="F198">
        <v>9.9999999999999898E-3</v>
      </c>
      <c r="G198" t="str">
        <f>exported_results[[#This Row],[a_node,b_node,c_node,asn_vol]]&amp;"_"&amp;exported_results[[#This Row],[b_node]]&amp;"_"&amp;exported_results[[#This Row],[c_node]]</f>
        <v>135_136_137</v>
      </c>
      <c r="H198" t="b">
        <f>exported_results[[#This Row],[a_node,b_node,c_node,asn_vol]]=exported_results[[#This Row],[c_node]]</f>
        <v>0</v>
      </c>
      <c r="J198">
        <v>135</v>
      </c>
      <c r="K198">
        <v>136</v>
      </c>
      <c r="L198">
        <v>137</v>
      </c>
      <c r="M198">
        <v>9.9999999999999898E-3</v>
      </c>
    </row>
    <row r="199" spans="3:13" x14ac:dyDescent="0.25">
      <c r="C199">
        <v>410</v>
      </c>
      <c r="D199">
        <v>411</v>
      </c>
      <c r="E199">
        <v>119</v>
      </c>
      <c r="F199">
        <v>9.9999999999999898E-3</v>
      </c>
      <c r="G199" t="str">
        <f>exported_results[[#This Row],[a_node,b_node,c_node,asn_vol]]&amp;"_"&amp;exported_results[[#This Row],[b_node]]&amp;"_"&amp;exported_results[[#This Row],[c_node]]</f>
        <v>410_411_119</v>
      </c>
      <c r="H199" t="b">
        <f>exported_results[[#This Row],[a_node,b_node,c_node,asn_vol]]=exported_results[[#This Row],[c_node]]</f>
        <v>0</v>
      </c>
      <c r="J199">
        <v>410</v>
      </c>
      <c r="K199">
        <v>411</v>
      </c>
      <c r="L199">
        <v>119</v>
      </c>
      <c r="M199">
        <v>9.9999999999999898E-3</v>
      </c>
    </row>
    <row r="200" spans="3:13" x14ac:dyDescent="0.25">
      <c r="C200">
        <v>410</v>
      </c>
      <c r="D200">
        <v>411</v>
      </c>
      <c r="E200">
        <v>412</v>
      </c>
      <c r="F200">
        <v>9.9995109034588196E-3</v>
      </c>
      <c r="G200" t="str">
        <f>exported_results[[#This Row],[a_node,b_node,c_node,asn_vol]]&amp;"_"&amp;exported_results[[#This Row],[b_node]]&amp;"_"&amp;exported_results[[#This Row],[c_node]]</f>
        <v>410_411_412</v>
      </c>
      <c r="H200" t="b">
        <f>exported_results[[#This Row],[a_node,b_node,c_node,asn_vol]]=exported_results[[#This Row],[c_node]]</f>
        <v>0</v>
      </c>
      <c r="J200">
        <v>410</v>
      </c>
      <c r="K200">
        <v>411</v>
      </c>
      <c r="L200">
        <v>412</v>
      </c>
      <c r="M200">
        <v>9.9995109034588196E-3</v>
      </c>
    </row>
    <row r="201" spans="3:13" x14ac:dyDescent="0.25">
      <c r="C201">
        <v>410</v>
      </c>
      <c r="D201">
        <v>415</v>
      </c>
      <c r="E201">
        <v>416</v>
      </c>
      <c r="F201">
        <v>9.9999999999999898E-3</v>
      </c>
      <c r="G201" t="str">
        <f>exported_results[[#This Row],[a_node,b_node,c_node,asn_vol]]&amp;"_"&amp;exported_results[[#This Row],[b_node]]&amp;"_"&amp;exported_results[[#This Row],[c_node]]</f>
        <v>410_415_416</v>
      </c>
      <c r="H201" t="b">
        <f>exported_results[[#This Row],[a_node,b_node,c_node,asn_vol]]=exported_results[[#This Row],[c_node]]</f>
        <v>0</v>
      </c>
      <c r="J201">
        <v>410</v>
      </c>
      <c r="K201">
        <v>415</v>
      </c>
      <c r="L201">
        <v>416</v>
      </c>
      <c r="M201">
        <v>9.9999999999999898E-3</v>
      </c>
    </row>
    <row r="202" spans="3:13" x14ac:dyDescent="0.25">
      <c r="C202">
        <v>124</v>
      </c>
      <c r="D202">
        <v>125</v>
      </c>
      <c r="E202">
        <v>126</v>
      </c>
      <c r="F202">
        <v>9.9999999999999898E-3</v>
      </c>
      <c r="G202" t="str">
        <f>exported_results[[#This Row],[a_node,b_node,c_node,asn_vol]]&amp;"_"&amp;exported_results[[#This Row],[b_node]]&amp;"_"&amp;exported_results[[#This Row],[c_node]]</f>
        <v>124_125_126</v>
      </c>
      <c r="H202" t="b">
        <f>exported_results[[#This Row],[a_node,b_node,c_node,asn_vol]]=exported_results[[#This Row],[c_node]]</f>
        <v>0</v>
      </c>
      <c r="J202">
        <v>124</v>
      </c>
      <c r="K202">
        <v>125</v>
      </c>
      <c r="L202">
        <v>126</v>
      </c>
      <c r="M202">
        <v>9.9999999999999898E-3</v>
      </c>
    </row>
    <row r="203" spans="3:13" x14ac:dyDescent="0.25">
      <c r="C203">
        <v>124</v>
      </c>
      <c r="D203">
        <v>125</v>
      </c>
      <c r="E203">
        <v>128</v>
      </c>
      <c r="F203">
        <v>9.9999999999999898E-3</v>
      </c>
      <c r="G203" t="str">
        <f>exported_results[[#This Row],[a_node,b_node,c_node,asn_vol]]&amp;"_"&amp;exported_results[[#This Row],[b_node]]&amp;"_"&amp;exported_results[[#This Row],[c_node]]</f>
        <v>124_125_128</v>
      </c>
      <c r="H203" t="b">
        <f>exported_results[[#This Row],[a_node,b_node,c_node,asn_vol]]=exported_results[[#This Row],[c_node]]</f>
        <v>0</v>
      </c>
      <c r="J203">
        <v>124</v>
      </c>
      <c r="K203">
        <v>125</v>
      </c>
      <c r="L203">
        <v>128</v>
      </c>
      <c r="M203">
        <v>9.9999999999999898E-3</v>
      </c>
    </row>
    <row r="204" spans="3:13" x14ac:dyDescent="0.25">
      <c r="C204">
        <v>415</v>
      </c>
      <c r="D204">
        <v>416</v>
      </c>
      <c r="E204">
        <v>419</v>
      </c>
      <c r="F204">
        <v>9.9999999999999898E-3</v>
      </c>
      <c r="G204" t="str">
        <f>exported_results[[#This Row],[a_node,b_node,c_node,asn_vol]]&amp;"_"&amp;exported_results[[#This Row],[b_node]]&amp;"_"&amp;exported_results[[#This Row],[c_node]]</f>
        <v>415_416_419</v>
      </c>
      <c r="H204" t="b">
        <f>exported_results[[#This Row],[a_node,b_node,c_node,asn_vol]]=exported_results[[#This Row],[c_node]]</f>
        <v>0</v>
      </c>
      <c r="J204">
        <v>415</v>
      </c>
      <c r="K204">
        <v>416</v>
      </c>
      <c r="L204">
        <v>419</v>
      </c>
      <c r="M204">
        <v>9.9999999999999898E-3</v>
      </c>
    </row>
    <row r="205" spans="3:13" x14ac:dyDescent="0.25">
      <c r="C205">
        <v>415</v>
      </c>
      <c r="D205">
        <v>416</v>
      </c>
      <c r="E205">
        <v>417</v>
      </c>
      <c r="F205">
        <v>9.9999999999999898E-3</v>
      </c>
      <c r="G205" t="str">
        <f>exported_results[[#This Row],[a_node,b_node,c_node,asn_vol]]&amp;"_"&amp;exported_results[[#This Row],[b_node]]&amp;"_"&amp;exported_results[[#This Row],[c_node]]</f>
        <v>415_416_417</v>
      </c>
      <c r="H205" t="b">
        <f>exported_results[[#This Row],[a_node,b_node,c_node,asn_vol]]=exported_results[[#This Row],[c_node]]</f>
        <v>0</v>
      </c>
      <c r="J205">
        <v>415</v>
      </c>
      <c r="K205">
        <v>416</v>
      </c>
      <c r="L205">
        <v>417</v>
      </c>
      <c r="M205">
        <v>9.9999999999999898E-3</v>
      </c>
    </row>
    <row r="206" spans="3:13" x14ac:dyDescent="0.25">
      <c r="C206">
        <v>416</v>
      </c>
      <c r="D206">
        <v>419</v>
      </c>
      <c r="E206">
        <v>420</v>
      </c>
      <c r="F206">
        <v>9.9999999999999898E-3</v>
      </c>
      <c r="G206" t="str">
        <f>exported_results[[#This Row],[a_node,b_node,c_node,asn_vol]]&amp;"_"&amp;exported_results[[#This Row],[b_node]]&amp;"_"&amp;exported_results[[#This Row],[c_node]]</f>
        <v>416_419_420</v>
      </c>
      <c r="H206" t="b">
        <f>exported_results[[#This Row],[a_node,b_node,c_node,asn_vol]]=exported_results[[#This Row],[c_node]]</f>
        <v>0</v>
      </c>
      <c r="J206">
        <v>416</v>
      </c>
      <c r="K206">
        <v>419</v>
      </c>
      <c r="L206">
        <v>420</v>
      </c>
      <c r="M206">
        <v>9.9999999999999898E-3</v>
      </c>
    </row>
    <row r="207" spans="3:13" x14ac:dyDescent="0.25">
      <c r="C207">
        <v>120</v>
      </c>
      <c r="D207">
        <v>121</v>
      </c>
      <c r="E207">
        <v>122</v>
      </c>
      <c r="F207">
        <v>9.9999999999999898E-3</v>
      </c>
      <c r="G207" t="str">
        <f>exported_results[[#This Row],[a_node,b_node,c_node,asn_vol]]&amp;"_"&amp;exported_results[[#This Row],[b_node]]&amp;"_"&amp;exported_results[[#This Row],[c_node]]</f>
        <v>120_121_122</v>
      </c>
      <c r="H207" t="b">
        <f>exported_results[[#This Row],[a_node,b_node,c_node,asn_vol]]=exported_results[[#This Row],[c_node]]</f>
        <v>0</v>
      </c>
      <c r="J207">
        <v>120</v>
      </c>
      <c r="K207">
        <v>121</v>
      </c>
      <c r="L207">
        <v>122</v>
      </c>
      <c r="M207">
        <v>9.9999999999999898E-3</v>
      </c>
    </row>
    <row r="208" spans="3:13" x14ac:dyDescent="0.25">
      <c r="C208">
        <v>120</v>
      </c>
      <c r="D208">
        <v>121</v>
      </c>
      <c r="E208">
        <v>124</v>
      </c>
      <c r="F208">
        <v>9.9999999999999898E-3</v>
      </c>
      <c r="G208" t="str">
        <f>exported_results[[#This Row],[a_node,b_node,c_node,asn_vol]]&amp;"_"&amp;exported_results[[#This Row],[b_node]]&amp;"_"&amp;exported_results[[#This Row],[c_node]]</f>
        <v>120_121_124</v>
      </c>
      <c r="H208" t="b">
        <f>exported_results[[#This Row],[a_node,b_node,c_node,asn_vol]]=exported_results[[#This Row],[c_node]]</f>
        <v>0</v>
      </c>
      <c r="J208">
        <v>120</v>
      </c>
      <c r="K208">
        <v>121</v>
      </c>
      <c r="L208">
        <v>124</v>
      </c>
      <c r="M208">
        <v>9.9999999999999898E-3</v>
      </c>
    </row>
    <row r="209" spans="3:13" x14ac:dyDescent="0.25">
      <c r="C209">
        <v>123</v>
      </c>
      <c r="D209">
        <v>124</v>
      </c>
      <c r="E209">
        <v>125</v>
      </c>
      <c r="F209">
        <v>9.9999999999999898E-3</v>
      </c>
      <c r="G209" t="str">
        <f>exported_results[[#This Row],[a_node,b_node,c_node,asn_vol]]&amp;"_"&amp;exported_results[[#This Row],[b_node]]&amp;"_"&amp;exported_results[[#This Row],[c_node]]</f>
        <v>123_124_125</v>
      </c>
      <c r="H209" t="b">
        <f>exported_results[[#This Row],[a_node,b_node,c_node,asn_vol]]=exported_results[[#This Row],[c_node]]</f>
        <v>0</v>
      </c>
      <c r="J209">
        <v>123</v>
      </c>
      <c r="K209">
        <v>124</v>
      </c>
      <c r="L209">
        <v>125</v>
      </c>
      <c r="M209">
        <v>9.9999999999999898E-3</v>
      </c>
    </row>
    <row r="210" spans="3:13" x14ac:dyDescent="0.25">
      <c r="C210">
        <v>121</v>
      </c>
      <c r="D210">
        <v>124</v>
      </c>
      <c r="E210">
        <v>125</v>
      </c>
      <c r="F210">
        <v>9.9999999999999898E-3</v>
      </c>
      <c r="G210" t="str">
        <f>exported_results[[#This Row],[a_node,b_node,c_node,asn_vol]]&amp;"_"&amp;exported_results[[#This Row],[b_node]]&amp;"_"&amp;exported_results[[#This Row],[c_node]]</f>
        <v>121_124_125</v>
      </c>
      <c r="H210" t="b">
        <f>exported_results[[#This Row],[a_node,b_node,c_node,asn_vol]]=exported_results[[#This Row],[c_node]]</f>
        <v>0</v>
      </c>
      <c r="J210">
        <v>121</v>
      </c>
      <c r="K210">
        <v>124</v>
      </c>
      <c r="L210">
        <v>125</v>
      </c>
      <c r="M210">
        <v>9.9999999999999898E-3</v>
      </c>
    </row>
    <row r="211" spans="3:13" x14ac:dyDescent="0.25">
      <c r="C211">
        <v>217</v>
      </c>
      <c r="D211">
        <v>218</v>
      </c>
      <c r="E211">
        <v>414</v>
      </c>
      <c r="F211">
        <v>9.9999999999999898E-3</v>
      </c>
      <c r="G211" t="str">
        <f>exported_results[[#This Row],[a_node,b_node,c_node,asn_vol]]&amp;"_"&amp;exported_results[[#This Row],[b_node]]&amp;"_"&amp;exported_results[[#This Row],[c_node]]</f>
        <v>217_218_414</v>
      </c>
      <c r="H211" t="b">
        <f>exported_results[[#This Row],[a_node,b_node,c_node,asn_vol]]=exported_results[[#This Row],[c_node]]</f>
        <v>0</v>
      </c>
      <c r="J211">
        <v>217</v>
      </c>
      <c r="K211">
        <v>218</v>
      </c>
      <c r="L211">
        <v>414</v>
      </c>
      <c r="M211">
        <v>9.9999999999999898E-3</v>
      </c>
    </row>
    <row r="212" spans="3:13" x14ac:dyDescent="0.25">
      <c r="C212">
        <v>217</v>
      </c>
      <c r="D212">
        <v>218</v>
      </c>
      <c r="E212">
        <v>219</v>
      </c>
      <c r="F212">
        <v>9.9994209293873901E-3</v>
      </c>
      <c r="G212" t="str">
        <f>exported_results[[#This Row],[a_node,b_node,c_node,asn_vol]]&amp;"_"&amp;exported_results[[#This Row],[b_node]]&amp;"_"&amp;exported_results[[#This Row],[c_node]]</f>
        <v>217_218_219</v>
      </c>
      <c r="H212" t="b">
        <f>exported_results[[#This Row],[a_node,b_node,c_node,asn_vol]]=exported_results[[#This Row],[c_node]]</f>
        <v>0</v>
      </c>
      <c r="J212">
        <v>217</v>
      </c>
      <c r="K212">
        <v>218</v>
      </c>
      <c r="L212">
        <v>219</v>
      </c>
      <c r="M212">
        <v>9.9994209293873901E-3</v>
      </c>
    </row>
    <row r="213" spans="3:13" x14ac:dyDescent="0.25">
      <c r="C213">
        <v>217</v>
      </c>
      <c r="D213">
        <v>222</v>
      </c>
      <c r="E213">
        <v>223</v>
      </c>
      <c r="F213">
        <v>9.9999999999999898E-3</v>
      </c>
      <c r="G213" t="str">
        <f>exported_results[[#This Row],[a_node,b_node,c_node,asn_vol]]&amp;"_"&amp;exported_results[[#This Row],[b_node]]&amp;"_"&amp;exported_results[[#This Row],[c_node]]</f>
        <v>217_222_223</v>
      </c>
      <c r="H213" t="b">
        <f>exported_results[[#This Row],[a_node,b_node,c_node,asn_vol]]=exported_results[[#This Row],[c_node]]</f>
        <v>0</v>
      </c>
      <c r="J213">
        <v>217</v>
      </c>
      <c r="K213">
        <v>222</v>
      </c>
      <c r="L213">
        <v>223</v>
      </c>
      <c r="M213">
        <v>9.9999999999999898E-3</v>
      </c>
    </row>
    <row r="214" spans="3:13" x14ac:dyDescent="0.25">
      <c r="C214">
        <v>222</v>
      </c>
      <c r="D214">
        <v>223</v>
      </c>
      <c r="E214">
        <v>224</v>
      </c>
      <c r="F214">
        <v>9.9999999999999898E-3</v>
      </c>
      <c r="G214" t="str">
        <f>exported_results[[#This Row],[a_node,b_node,c_node,asn_vol]]&amp;"_"&amp;exported_results[[#This Row],[b_node]]&amp;"_"&amp;exported_results[[#This Row],[c_node]]</f>
        <v>222_223_224</v>
      </c>
      <c r="H214" t="b">
        <f>exported_results[[#This Row],[a_node,b_node,c_node,asn_vol]]=exported_results[[#This Row],[c_node]]</f>
        <v>0</v>
      </c>
      <c r="J214">
        <v>222</v>
      </c>
      <c r="K214">
        <v>223</v>
      </c>
      <c r="L214">
        <v>224</v>
      </c>
      <c r="M214">
        <v>9.9999999999999898E-3</v>
      </c>
    </row>
    <row r="215" spans="3:13" x14ac:dyDescent="0.25">
      <c r="C215">
        <v>222</v>
      </c>
      <c r="D215">
        <v>223</v>
      </c>
      <c r="E215">
        <v>225</v>
      </c>
      <c r="F215">
        <v>9.9999999999999898E-3</v>
      </c>
      <c r="G215" t="str">
        <f>exported_results[[#This Row],[a_node,b_node,c_node,asn_vol]]&amp;"_"&amp;exported_results[[#This Row],[b_node]]&amp;"_"&amp;exported_results[[#This Row],[c_node]]</f>
        <v>222_223_225</v>
      </c>
      <c r="H215" t="b">
        <f>exported_results[[#This Row],[a_node,b_node,c_node,asn_vol]]=exported_results[[#This Row],[c_node]]</f>
        <v>0</v>
      </c>
      <c r="J215">
        <v>222</v>
      </c>
      <c r="K215">
        <v>223</v>
      </c>
      <c r="L215">
        <v>225</v>
      </c>
      <c r="M215">
        <v>9.9999999999999898E-3</v>
      </c>
    </row>
    <row r="216" spans="3:13" x14ac:dyDescent="0.25">
      <c r="C216">
        <v>115</v>
      </c>
      <c r="D216">
        <v>116</v>
      </c>
      <c r="E216">
        <v>317</v>
      </c>
      <c r="F216">
        <v>9.9999999999999898E-3</v>
      </c>
      <c r="G216" t="str">
        <f>exported_results[[#This Row],[a_node,b_node,c_node,asn_vol]]&amp;"_"&amp;exported_results[[#This Row],[b_node]]&amp;"_"&amp;exported_results[[#This Row],[c_node]]</f>
        <v>115_116_317</v>
      </c>
      <c r="H216" t="b">
        <f>exported_results[[#This Row],[a_node,b_node,c_node,asn_vol]]=exported_results[[#This Row],[c_node]]</f>
        <v>0</v>
      </c>
      <c r="J216">
        <v>115</v>
      </c>
      <c r="K216">
        <v>116</v>
      </c>
      <c r="L216">
        <v>317</v>
      </c>
      <c r="M216">
        <v>9.9999999999999898E-3</v>
      </c>
    </row>
    <row r="217" spans="3:13" x14ac:dyDescent="0.25">
      <c r="C217">
        <v>115</v>
      </c>
      <c r="D217">
        <v>116</v>
      </c>
      <c r="E217">
        <v>117</v>
      </c>
      <c r="F217">
        <v>9.9993068175877192E-3</v>
      </c>
      <c r="G217" t="str">
        <f>exported_results[[#This Row],[a_node,b_node,c_node,asn_vol]]&amp;"_"&amp;exported_results[[#This Row],[b_node]]&amp;"_"&amp;exported_results[[#This Row],[c_node]]</f>
        <v>115_116_117</v>
      </c>
      <c r="H217" t="b">
        <f>exported_results[[#This Row],[a_node,b_node,c_node,asn_vol]]=exported_results[[#This Row],[c_node]]</f>
        <v>0</v>
      </c>
      <c r="J217">
        <v>115</v>
      </c>
      <c r="K217">
        <v>116</v>
      </c>
      <c r="L217">
        <v>117</v>
      </c>
      <c r="M217">
        <v>9.9993068175877192E-3</v>
      </c>
    </row>
    <row r="218" spans="3:13" x14ac:dyDescent="0.25">
      <c r="C218">
        <v>115</v>
      </c>
      <c r="D218">
        <v>120</v>
      </c>
      <c r="E218">
        <v>121</v>
      </c>
      <c r="F218">
        <v>9.9999999999999898E-3</v>
      </c>
      <c r="G218" t="str">
        <f>exported_results[[#This Row],[a_node,b_node,c_node,asn_vol]]&amp;"_"&amp;exported_results[[#This Row],[b_node]]&amp;"_"&amp;exported_results[[#This Row],[c_node]]</f>
        <v>115_120_121</v>
      </c>
      <c r="H218" t="b">
        <f>exported_results[[#This Row],[a_node,b_node,c_node,asn_vol]]=exported_results[[#This Row],[c_node]]</f>
        <v>0</v>
      </c>
      <c r="J218">
        <v>115</v>
      </c>
      <c r="K218">
        <v>120</v>
      </c>
      <c r="L218">
        <v>121</v>
      </c>
      <c r="M218">
        <v>9.9999999999999898E-3</v>
      </c>
    </row>
    <row r="219" spans="3:13" x14ac:dyDescent="0.25">
      <c r="C219">
        <v>125</v>
      </c>
      <c r="D219">
        <v>128</v>
      </c>
      <c r="E219">
        <v>129</v>
      </c>
      <c r="F219">
        <v>9.9999999999999898E-3</v>
      </c>
      <c r="G219" t="str">
        <f>exported_results[[#This Row],[a_node,b_node,c_node,asn_vol]]&amp;"_"&amp;exported_results[[#This Row],[b_node]]&amp;"_"&amp;exported_results[[#This Row],[c_node]]</f>
        <v>125_128_129</v>
      </c>
      <c r="H219" t="b">
        <f>exported_results[[#This Row],[a_node,b_node,c_node,asn_vol]]=exported_results[[#This Row],[c_node]]</f>
        <v>0</v>
      </c>
      <c r="J219">
        <v>125</v>
      </c>
      <c r="K219">
        <v>128</v>
      </c>
      <c r="L219">
        <v>129</v>
      </c>
      <c r="M219">
        <v>9.9999999999999898E-3</v>
      </c>
    </row>
    <row r="220" spans="3:13" x14ac:dyDescent="0.25">
      <c r="C220">
        <v>412</v>
      </c>
      <c r="D220">
        <v>220</v>
      </c>
      <c r="E220">
        <v>221</v>
      </c>
      <c r="F220">
        <v>9.9999999999999898E-3</v>
      </c>
      <c r="G220" t="str">
        <f>exported_results[[#This Row],[a_node,b_node,c_node,asn_vol]]&amp;"_"&amp;exported_results[[#This Row],[b_node]]&amp;"_"&amp;exported_results[[#This Row],[c_node]]</f>
        <v>412_220_221</v>
      </c>
      <c r="H220" t="b">
        <f>exported_results[[#This Row],[a_node,b_node,c_node,asn_vol]]=exported_results[[#This Row],[c_node]]</f>
        <v>0</v>
      </c>
      <c r="J220">
        <v>412</v>
      </c>
      <c r="K220">
        <v>220</v>
      </c>
      <c r="L220">
        <v>221</v>
      </c>
      <c r="M220">
        <v>9.9999999999999898E-3</v>
      </c>
    </row>
    <row r="221" spans="3:13" x14ac:dyDescent="0.25">
      <c r="C221">
        <v>412</v>
      </c>
      <c r="D221">
        <v>413</v>
      </c>
      <c r="E221">
        <v>414</v>
      </c>
      <c r="F221">
        <v>3.6131902620061798E-3</v>
      </c>
      <c r="G221" t="str">
        <f>exported_results[[#This Row],[a_node,b_node,c_node,asn_vol]]&amp;"_"&amp;exported_results[[#This Row],[b_node]]&amp;"_"&amp;exported_results[[#This Row],[c_node]]</f>
        <v>412_413_414</v>
      </c>
      <c r="H221" t="b">
        <f>exported_results[[#This Row],[a_node,b_node,c_node,asn_vol]]=exported_results[[#This Row],[c_node]]</f>
        <v>0</v>
      </c>
      <c r="J221">
        <v>412</v>
      </c>
      <c r="K221">
        <v>413</v>
      </c>
      <c r="L221">
        <v>414</v>
      </c>
      <c r="M221">
        <v>3.6131902620061798E-3</v>
      </c>
    </row>
    <row r="222" spans="3:13" x14ac:dyDescent="0.25">
      <c r="C222">
        <v>317</v>
      </c>
      <c r="D222">
        <v>318</v>
      </c>
      <c r="E222">
        <v>319</v>
      </c>
      <c r="F222">
        <v>9.9999999999999898E-3</v>
      </c>
      <c r="G222" t="str">
        <f>exported_results[[#This Row],[a_node,b_node,c_node,asn_vol]]&amp;"_"&amp;exported_results[[#This Row],[b_node]]&amp;"_"&amp;exported_results[[#This Row],[c_node]]</f>
        <v>317_318_319</v>
      </c>
      <c r="H222" t="b">
        <f>exported_results[[#This Row],[a_node,b_node,c_node,asn_vol]]=exported_results[[#This Row],[c_node]]</f>
        <v>0</v>
      </c>
      <c r="J222">
        <v>317</v>
      </c>
      <c r="K222">
        <v>318</v>
      </c>
      <c r="L222">
        <v>319</v>
      </c>
      <c r="M222">
        <v>9.9999999999999898E-3</v>
      </c>
    </row>
    <row r="223" spans="3:13" x14ac:dyDescent="0.25">
      <c r="C223">
        <v>411</v>
      </c>
      <c r="D223">
        <v>119</v>
      </c>
      <c r="E223">
        <v>120</v>
      </c>
      <c r="F223">
        <v>9.9999999999999898E-3</v>
      </c>
      <c r="G223" t="str">
        <f>exported_results[[#This Row],[a_node,b_node,c_node,asn_vol]]&amp;"_"&amp;exported_results[[#This Row],[b_node]]&amp;"_"&amp;exported_results[[#This Row],[c_node]]</f>
        <v>411_119_120</v>
      </c>
      <c r="H223" t="b">
        <f>exported_results[[#This Row],[a_node,b_node,c_node,asn_vol]]=exported_results[[#This Row],[c_node]]</f>
        <v>0</v>
      </c>
      <c r="J223">
        <v>411</v>
      </c>
      <c r="K223">
        <v>119</v>
      </c>
      <c r="L223">
        <v>120</v>
      </c>
      <c r="M223">
        <v>9.9999999999999898E-3</v>
      </c>
    </row>
    <row r="224" spans="3:13" x14ac:dyDescent="0.25">
      <c r="C224">
        <v>411</v>
      </c>
      <c r="D224">
        <v>412</v>
      </c>
      <c r="E224">
        <v>220</v>
      </c>
      <c r="F224">
        <v>9.9999999999999898E-3</v>
      </c>
      <c r="G224" t="str">
        <f>exported_results[[#This Row],[a_node,b_node,c_node,asn_vol]]&amp;"_"&amp;exported_results[[#This Row],[b_node]]&amp;"_"&amp;exported_results[[#This Row],[c_node]]</f>
        <v>411_412_220</v>
      </c>
      <c r="H224" t="b">
        <f>exported_results[[#This Row],[a_node,b_node,c_node,asn_vol]]=exported_results[[#This Row],[c_node]]</f>
        <v>0</v>
      </c>
      <c r="J224">
        <v>411</v>
      </c>
      <c r="K224">
        <v>412</v>
      </c>
      <c r="L224">
        <v>220</v>
      </c>
      <c r="M224">
        <v>9.9999999999999898E-3</v>
      </c>
    </row>
    <row r="225" spans="3:13" x14ac:dyDescent="0.25">
      <c r="C225">
        <v>411</v>
      </c>
      <c r="D225">
        <v>412</v>
      </c>
      <c r="E225">
        <v>413</v>
      </c>
      <c r="F225">
        <v>4.7485609695938997E-3</v>
      </c>
      <c r="G225" t="str">
        <f>exported_results[[#This Row],[a_node,b_node,c_node,asn_vol]]&amp;"_"&amp;exported_results[[#This Row],[b_node]]&amp;"_"&amp;exported_results[[#This Row],[c_node]]</f>
        <v>411_412_413</v>
      </c>
      <c r="H225" t="b">
        <f>exported_results[[#This Row],[a_node,b_node,c_node,asn_vol]]=exported_results[[#This Row],[c_node]]</f>
        <v>0</v>
      </c>
      <c r="J225">
        <v>411</v>
      </c>
      <c r="K225">
        <v>412</v>
      </c>
      <c r="L225">
        <v>413</v>
      </c>
      <c r="M225">
        <v>4.7485609695938997E-3</v>
      </c>
    </row>
    <row r="226" spans="3:13" x14ac:dyDescent="0.25">
      <c r="C226">
        <v>414</v>
      </c>
      <c r="D226">
        <v>415</v>
      </c>
      <c r="E226">
        <v>416</v>
      </c>
      <c r="F226">
        <v>9.9999999999999898E-3</v>
      </c>
      <c r="G226" t="str">
        <f>exported_results[[#This Row],[a_node,b_node,c_node,asn_vol]]&amp;"_"&amp;exported_results[[#This Row],[b_node]]&amp;"_"&amp;exported_results[[#This Row],[c_node]]</f>
        <v>414_415_416</v>
      </c>
      <c r="H226" t="b">
        <f>exported_results[[#This Row],[a_node,b_node,c_node,asn_vol]]=exported_results[[#This Row],[c_node]]</f>
        <v>0</v>
      </c>
      <c r="J226">
        <v>414</v>
      </c>
      <c r="K226">
        <v>415</v>
      </c>
      <c r="L226">
        <v>416</v>
      </c>
      <c r="M226">
        <v>9.9999999999999898E-3</v>
      </c>
    </row>
    <row r="227" spans="3:13" x14ac:dyDescent="0.25">
      <c r="C227">
        <v>108</v>
      </c>
      <c r="D227">
        <v>109</v>
      </c>
      <c r="E227">
        <v>110</v>
      </c>
      <c r="F227">
        <v>9.9999999999999898E-3</v>
      </c>
      <c r="G227" t="str">
        <f>exported_results[[#This Row],[a_node,b_node,c_node,asn_vol]]&amp;"_"&amp;exported_results[[#This Row],[b_node]]&amp;"_"&amp;exported_results[[#This Row],[c_node]]</f>
        <v>108_109_110</v>
      </c>
      <c r="H227" t="b">
        <f>exported_results[[#This Row],[a_node,b_node,c_node,asn_vol]]=exported_results[[#This Row],[c_node]]</f>
        <v>0</v>
      </c>
      <c r="J227">
        <v>108</v>
      </c>
      <c r="K227">
        <v>109</v>
      </c>
      <c r="L227">
        <v>110</v>
      </c>
      <c r="M227">
        <v>9.9999999999999898E-3</v>
      </c>
    </row>
    <row r="228" spans="3:13" x14ac:dyDescent="0.25">
      <c r="C228">
        <v>108</v>
      </c>
      <c r="D228">
        <v>109</v>
      </c>
      <c r="E228">
        <v>111</v>
      </c>
      <c r="F228">
        <v>9.9999999999999898E-3</v>
      </c>
      <c r="G228" t="str">
        <f>exported_results[[#This Row],[a_node,b_node,c_node,asn_vol]]&amp;"_"&amp;exported_results[[#This Row],[b_node]]&amp;"_"&amp;exported_results[[#This Row],[c_node]]</f>
        <v>108_109_111</v>
      </c>
      <c r="H228" t="b">
        <f>exported_results[[#This Row],[a_node,b_node,c_node,asn_vol]]=exported_results[[#This Row],[c_node]]</f>
        <v>0</v>
      </c>
      <c r="J228">
        <v>108</v>
      </c>
      <c r="K228">
        <v>109</v>
      </c>
      <c r="L228">
        <v>111</v>
      </c>
      <c r="M228">
        <v>9.9999999999999898E-3</v>
      </c>
    </row>
    <row r="229" spans="3:13" x14ac:dyDescent="0.25">
      <c r="C229">
        <v>316</v>
      </c>
      <c r="D229">
        <v>317</v>
      </c>
      <c r="E229">
        <v>318</v>
      </c>
      <c r="F229">
        <v>9.9995255557572202E-3</v>
      </c>
      <c r="G229" t="str">
        <f>exported_results[[#This Row],[a_node,b_node,c_node,asn_vol]]&amp;"_"&amp;exported_results[[#This Row],[b_node]]&amp;"_"&amp;exported_results[[#This Row],[c_node]]</f>
        <v>316_317_318</v>
      </c>
      <c r="H229" t="b">
        <f>exported_results[[#This Row],[a_node,b_node,c_node,asn_vol]]=exported_results[[#This Row],[c_node]]</f>
        <v>0</v>
      </c>
      <c r="J229">
        <v>316</v>
      </c>
      <c r="K229">
        <v>317</v>
      </c>
      <c r="L229">
        <v>318</v>
      </c>
      <c r="M229">
        <v>9.9995255557572202E-3</v>
      </c>
    </row>
    <row r="230" spans="3:13" x14ac:dyDescent="0.25">
      <c r="C230">
        <v>112</v>
      </c>
      <c r="D230">
        <v>113</v>
      </c>
      <c r="E230">
        <v>114</v>
      </c>
      <c r="F230" s="29">
        <v>3.4256335585714301E-22</v>
      </c>
      <c r="G230" t="str">
        <f>exported_results[[#This Row],[a_node,b_node,c_node,asn_vol]]&amp;"_"&amp;exported_results[[#This Row],[b_node]]&amp;"_"&amp;exported_results[[#This Row],[c_node]]</f>
        <v>112_113_114</v>
      </c>
      <c r="H230" t="b">
        <f>exported_results[[#This Row],[a_node,b_node,c_node,asn_vol]]=exported_results[[#This Row],[c_node]]</f>
        <v>0</v>
      </c>
      <c r="J230">
        <v>112</v>
      </c>
      <c r="K230">
        <v>113</v>
      </c>
      <c r="L230">
        <v>114</v>
      </c>
      <c r="M230" s="29">
        <v>3.4256335585714301E-22</v>
      </c>
    </row>
    <row r="231" spans="3:13" x14ac:dyDescent="0.25">
      <c r="C231">
        <v>112</v>
      </c>
      <c r="D231">
        <v>113</v>
      </c>
      <c r="E231">
        <v>224</v>
      </c>
      <c r="F231">
        <v>42.5</v>
      </c>
      <c r="G231" t="str">
        <f>exported_results[[#This Row],[a_node,b_node,c_node,asn_vol]]&amp;"_"&amp;exported_results[[#This Row],[b_node]]&amp;"_"&amp;exported_results[[#This Row],[c_node]]</f>
        <v>112_113_224</v>
      </c>
      <c r="H231" t="b">
        <f>exported_results[[#This Row],[a_node,b_node,c_node,asn_vol]]=exported_results[[#This Row],[c_node]]</f>
        <v>0</v>
      </c>
      <c r="J231">
        <v>112</v>
      </c>
      <c r="K231">
        <v>113</v>
      </c>
      <c r="L231">
        <v>224</v>
      </c>
      <c r="M231">
        <v>42.5</v>
      </c>
    </row>
    <row r="232" spans="3:13" x14ac:dyDescent="0.25">
      <c r="C232" s="33">
        <v>112</v>
      </c>
      <c r="D232">
        <v>113</v>
      </c>
      <c r="E232">
        <v>509</v>
      </c>
      <c r="F232">
        <v>255</v>
      </c>
      <c r="G232" t="str">
        <f>exported_results[[#This Row],[a_node,b_node,c_node,asn_vol]]&amp;"_"&amp;exported_results[[#This Row],[b_node]]&amp;"_"&amp;exported_results[[#This Row],[c_node]]</f>
        <v>112_113_509</v>
      </c>
      <c r="H232" t="b">
        <f>exported_results[[#This Row],[a_node,b_node,c_node,asn_vol]]=exported_results[[#This Row],[c_node]]</f>
        <v>0</v>
      </c>
      <c r="J232" s="33">
        <v>112</v>
      </c>
      <c r="K232">
        <v>113</v>
      </c>
      <c r="L232">
        <v>509</v>
      </c>
      <c r="M232">
        <v>255</v>
      </c>
    </row>
    <row r="233" spans="3:13" x14ac:dyDescent="0.25">
      <c r="C233">
        <v>112</v>
      </c>
      <c r="D233">
        <v>114</v>
      </c>
      <c r="E233">
        <v>115</v>
      </c>
      <c r="F233">
        <v>9.9999999999999898E-3</v>
      </c>
      <c r="G233" t="str">
        <f>exported_results[[#This Row],[a_node,b_node,c_node,asn_vol]]&amp;"_"&amp;exported_results[[#This Row],[b_node]]&amp;"_"&amp;exported_results[[#This Row],[c_node]]</f>
        <v>112_114_115</v>
      </c>
      <c r="H233" t="b">
        <f>exported_results[[#This Row],[a_node,b_node,c_node,asn_vol]]=exported_results[[#This Row],[c_node]]</f>
        <v>0</v>
      </c>
      <c r="J233">
        <v>112</v>
      </c>
      <c r="K233">
        <v>114</v>
      </c>
      <c r="L233">
        <v>115</v>
      </c>
      <c r="M233">
        <v>9.9999999999999898E-3</v>
      </c>
    </row>
    <row r="234" spans="3:13" x14ac:dyDescent="0.25">
      <c r="C234">
        <v>117</v>
      </c>
      <c r="D234">
        <v>413</v>
      </c>
      <c r="E234">
        <v>414</v>
      </c>
      <c r="F234">
        <v>9.9999999999999898E-3</v>
      </c>
      <c r="G234" t="str">
        <f>exported_results[[#This Row],[a_node,b_node,c_node,asn_vol]]&amp;"_"&amp;exported_results[[#This Row],[b_node]]&amp;"_"&amp;exported_results[[#This Row],[c_node]]</f>
        <v>117_413_414</v>
      </c>
      <c r="H234" t="b">
        <f>exported_results[[#This Row],[a_node,b_node,c_node,asn_vol]]=exported_results[[#This Row],[c_node]]</f>
        <v>0</v>
      </c>
      <c r="J234">
        <v>117</v>
      </c>
      <c r="K234">
        <v>413</v>
      </c>
      <c r="L234">
        <v>414</v>
      </c>
      <c r="M234">
        <v>9.9999999999999898E-3</v>
      </c>
    </row>
    <row r="235" spans="3:13" x14ac:dyDescent="0.25">
      <c r="C235">
        <v>117</v>
      </c>
      <c r="D235">
        <v>118</v>
      </c>
      <c r="E235">
        <v>119</v>
      </c>
      <c r="F235">
        <v>2.2450784718966799E-3</v>
      </c>
      <c r="G235" t="str">
        <f>exported_results[[#This Row],[a_node,b_node,c_node,asn_vol]]&amp;"_"&amp;exported_results[[#This Row],[b_node]]&amp;"_"&amp;exported_results[[#This Row],[c_node]]</f>
        <v>117_118_119</v>
      </c>
      <c r="H235" t="b">
        <f>exported_results[[#This Row],[a_node,b_node,c_node,asn_vol]]=exported_results[[#This Row],[c_node]]</f>
        <v>0</v>
      </c>
      <c r="J235">
        <v>117</v>
      </c>
      <c r="K235">
        <v>118</v>
      </c>
      <c r="L235">
        <v>119</v>
      </c>
      <c r="M235">
        <v>2.2450784718966799E-3</v>
      </c>
    </row>
    <row r="236" spans="3:13" x14ac:dyDescent="0.25">
      <c r="C236">
        <v>118</v>
      </c>
      <c r="D236">
        <v>119</v>
      </c>
      <c r="E236">
        <v>120</v>
      </c>
      <c r="F236">
        <v>9.5627580714898307E-3</v>
      </c>
      <c r="G236" t="str">
        <f>exported_results[[#This Row],[a_node,b_node,c_node,asn_vol]]&amp;"_"&amp;exported_results[[#This Row],[b_node]]&amp;"_"&amp;exported_results[[#This Row],[c_node]]</f>
        <v>118_119_120</v>
      </c>
      <c r="H236" t="b">
        <f>exported_results[[#This Row],[a_node,b_node,c_node,asn_vol]]=exported_results[[#This Row],[c_node]]</f>
        <v>0</v>
      </c>
      <c r="J236">
        <v>118</v>
      </c>
      <c r="K236">
        <v>119</v>
      </c>
      <c r="L236">
        <v>120</v>
      </c>
      <c r="M236">
        <v>9.5627580714898307E-3</v>
      </c>
    </row>
    <row r="237" spans="3:13" x14ac:dyDescent="0.25">
      <c r="C237">
        <v>313</v>
      </c>
      <c r="D237">
        <v>314</v>
      </c>
      <c r="E237">
        <v>315</v>
      </c>
      <c r="F237">
        <v>9.9957193316480807E-3</v>
      </c>
      <c r="G237" t="str">
        <f>exported_results[[#This Row],[a_node,b_node,c_node,asn_vol]]&amp;"_"&amp;exported_results[[#This Row],[b_node]]&amp;"_"&amp;exported_results[[#This Row],[c_node]]</f>
        <v>313_314_315</v>
      </c>
      <c r="H237" t="b">
        <f>exported_results[[#This Row],[a_node,b_node,c_node,asn_vol]]=exported_results[[#This Row],[c_node]]</f>
        <v>0</v>
      </c>
      <c r="J237">
        <v>313</v>
      </c>
      <c r="K237">
        <v>314</v>
      </c>
      <c r="L237">
        <v>315</v>
      </c>
      <c r="M237">
        <v>9.9957193316480807E-3</v>
      </c>
    </row>
    <row r="238" spans="3:13" x14ac:dyDescent="0.25">
      <c r="C238">
        <v>313</v>
      </c>
      <c r="D238">
        <v>314</v>
      </c>
      <c r="E238">
        <v>221</v>
      </c>
      <c r="F238">
        <v>9.9999999999999898E-3</v>
      </c>
      <c r="G238" t="str">
        <f>exported_results[[#This Row],[a_node,b_node,c_node,asn_vol]]&amp;"_"&amp;exported_results[[#This Row],[b_node]]&amp;"_"&amp;exported_results[[#This Row],[c_node]]</f>
        <v>313_314_221</v>
      </c>
      <c r="H238" t="b">
        <f>exported_results[[#This Row],[a_node,b_node,c_node,asn_vol]]=exported_results[[#This Row],[c_node]]</f>
        <v>0</v>
      </c>
      <c r="J238">
        <v>313</v>
      </c>
      <c r="K238">
        <v>314</v>
      </c>
      <c r="L238">
        <v>221</v>
      </c>
      <c r="M238">
        <v>9.9999999999999898E-3</v>
      </c>
    </row>
    <row r="239" spans="3:13" x14ac:dyDescent="0.25">
      <c r="C239">
        <v>313</v>
      </c>
      <c r="D239">
        <v>318</v>
      </c>
      <c r="E239">
        <v>319</v>
      </c>
      <c r="F239">
        <v>9.9999999999999898E-3</v>
      </c>
      <c r="G239" t="str">
        <f>exported_results[[#This Row],[a_node,b_node,c_node,asn_vol]]&amp;"_"&amp;exported_results[[#This Row],[b_node]]&amp;"_"&amp;exported_results[[#This Row],[c_node]]</f>
        <v>313_318_319</v>
      </c>
      <c r="H239" t="b">
        <f>exported_results[[#This Row],[a_node,b_node,c_node,asn_vol]]=exported_results[[#This Row],[c_node]]</f>
        <v>0</v>
      </c>
      <c r="J239">
        <v>313</v>
      </c>
      <c r="K239">
        <v>318</v>
      </c>
      <c r="L239">
        <v>319</v>
      </c>
      <c r="M239">
        <v>9.9999999999999898E-3</v>
      </c>
    </row>
    <row r="240" spans="3:13" x14ac:dyDescent="0.25">
      <c r="C240">
        <v>318</v>
      </c>
      <c r="D240">
        <v>319</v>
      </c>
      <c r="E240">
        <v>320</v>
      </c>
      <c r="F240">
        <v>9.9999999999999898E-3</v>
      </c>
      <c r="G240" t="str">
        <f>exported_results[[#This Row],[a_node,b_node,c_node,asn_vol]]&amp;"_"&amp;exported_results[[#This Row],[b_node]]&amp;"_"&amp;exported_results[[#This Row],[c_node]]</f>
        <v>318_319_320</v>
      </c>
      <c r="H240" t="b">
        <f>exported_results[[#This Row],[a_node,b_node,c_node,asn_vol]]=exported_results[[#This Row],[c_node]]</f>
        <v>0</v>
      </c>
      <c r="J240">
        <v>318</v>
      </c>
      <c r="K240">
        <v>319</v>
      </c>
      <c r="L240">
        <v>320</v>
      </c>
      <c r="M240">
        <v>9.9999999999999898E-3</v>
      </c>
    </row>
    <row r="241" spans="3:13" x14ac:dyDescent="0.25">
      <c r="C241">
        <v>318</v>
      </c>
      <c r="D241">
        <v>319</v>
      </c>
      <c r="E241">
        <v>321</v>
      </c>
      <c r="F241">
        <v>9.9999999999999898E-3</v>
      </c>
      <c r="G241" t="str">
        <f>exported_results[[#This Row],[a_node,b_node,c_node,asn_vol]]&amp;"_"&amp;exported_results[[#This Row],[b_node]]&amp;"_"&amp;exported_results[[#This Row],[c_node]]</f>
        <v>318_319_321</v>
      </c>
      <c r="H241" t="b">
        <f>exported_results[[#This Row],[a_node,b_node,c_node,asn_vol]]=exported_results[[#This Row],[c_node]]</f>
        <v>0</v>
      </c>
      <c r="J241">
        <v>318</v>
      </c>
      <c r="K241">
        <v>319</v>
      </c>
      <c r="L241">
        <v>321</v>
      </c>
      <c r="M241">
        <v>9.9999999999999898E-3</v>
      </c>
    </row>
    <row r="242" spans="3:13" x14ac:dyDescent="0.25">
      <c r="C242">
        <v>119</v>
      </c>
      <c r="D242">
        <v>120</v>
      </c>
      <c r="E242">
        <v>121</v>
      </c>
      <c r="F242">
        <v>9.9999999999999898E-3</v>
      </c>
      <c r="G242" t="str">
        <f>exported_results[[#This Row],[a_node,b_node,c_node,asn_vol]]&amp;"_"&amp;exported_results[[#This Row],[b_node]]&amp;"_"&amp;exported_results[[#This Row],[c_node]]</f>
        <v>119_120_121</v>
      </c>
      <c r="H242" t="b">
        <f>exported_results[[#This Row],[a_node,b_node,c_node,asn_vol]]=exported_results[[#This Row],[c_node]]</f>
        <v>0</v>
      </c>
      <c r="J242">
        <v>119</v>
      </c>
      <c r="K242">
        <v>120</v>
      </c>
      <c r="L242">
        <v>121</v>
      </c>
      <c r="M242">
        <v>9.9999999999999898E-3</v>
      </c>
    </row>
    <row r="243" spans="3:13" x14ac:dyDescent="0.25">
      <c r="C243">
        <v>114</v>
      </c>
      <c r="D243">
        <v>115</v>
      </c>
      <c r="E243">
        <v>116</v>
      </c>
      <c r="F243">
        <v>9.9999999999999898E-3</v>
      </c>
      <c r="G243" t="str">
        <f>exported_results[[#This Row],[a_node,b_node,c_node,asn_vol]]&amp;"_"&amp;exported_results[[#This Row],[b_node]]&amp;"_"&amp;exported_results[[#This Row],[c_node]]</f>
        <v>114_115_116</v>
      </c>
      <c r="H243" t="b">
        <f>exported_results[[#This Row],[a_node,b_node,c_node,asn_vol]]=exported_results[[#This Row],[c_node]]</f>
        <v>0</v>
      </c>
      <c r="J243">
        <v>114</v>
      </c>
      <c r="K243">
        <v>115</v>
      </c>
      <c r="L243">
        <v>116</v>
      </c>
      <c r="M243">
        <v>9.9999999999999898E-3</v>
      </c>
    </row>
    <row r="244" spans="3:13" x14ac:dyDescent="0.25">
      <c r="C244">
        <v>114</v>
      </c>
      <c r="D244">
        <v>115</v>
      </c>
      <c r="E244">
        <v>120</v>
      </c>
      <c r="F244">
        <v>9.9999999999999898E-3</v>
      </c>
      <c r="G244" t="str">
        <f>exported_results[[#This Row],[a_node,b_node,c_node,asn_vol]]&amp;"_"&amp;exported_results[[#This Row],[b_node]]&amp;"_"&amp;exported_results[[#This Row],[c_node]]</f>
        <v>114_115_120</v>
      </c>
      <c r="H244" t="b">
        <f>exported_results[[#This Row],[a_node,b_node,c_node,asn_vol]]=exported_results[[#This Row],[c_node]]</f>
        <v>0</v>
      </c>
      <c r="J244">
        <v>114</v>
      </c>
      <c r="K244">
        <v>115</v>
      </c>
      <c r="L244">
        <v>120</v>
      </c>
      <c r="M244">
        <v>9.9999999999999898E-3</v>
      </c>
    </row>
    <row r="245" spans="3:13" x14ac:dyDescent="0.25">
      <c r="C245">
        <v>424</v>
      </c>
      <c r="D245">
        <v>427</v>
      </c>
      <c r="E245">
        <v>428</v>
      </c>
      <c r="F245">
        <v>9.9999999999999898E-3</v>
      </c>
      <c r="G245" t="str">
        <f>exported_results[[#This Row],[a_node,b_node,c_node,asn_vol]]&amp;"_"&amp;exported_results[[#This Row],[b_node]]&amp;"_"&amp;exported_results[[#This Row],[c_node]]</f>
        <v>424_427_428</v>
      </c>
      <c r="H245" t="b">
        <f>exported_results[[#This Row],[a_node,b_node,c_node,asn_vol]]=exported_results[[#This Row],[c_node]]</f>
        <v>0</v>
      </c>
      <c r="J245">
        <v>424</v>
      </c>
      <c r="K245">
        <v>427</v>
      </c>
      <c r="L245">
        <v>428</v>
      </c>
      <c r="M245">
        <v>9.9999999999999898E-3</v>
      </c>
    </row>
    <row r="246" spans="3:13" x14ac:dyDescent="0.25">
      <c r="C246">
        <v>422</v>
      </c>
      <c r="D246">
        <v>423</v>
      </c>
      <c r="E246">
        <v>424</v>
      </c>
      <c r="F246">
        <v>9.9999999999999898E-3</v>
      </c>
      <c r="G246" t="str">
        <f>exported_results[[#This Row],[a_node,b_node,c_node,asn_vol]]&amp;"_"&amp;exported_results[[#This Row],[b_node]]&amp;"_"&amp;exported_results[[#This Row],[c_node]]</f>
        <v>422_423_424</v>
      </c>
      <c r="H246" t="b">
        <f>exported_results[[#This Row],[a_node,b_node,c_node,asn_vol]]=exported_results[[#This Row],[c_node]]</f>
        <v>0</v>
      </c>
      <c r="J246">
        <v>422</v>
      </c>
      <c r="K246">
        <v>423</v>
      </c>
      <c r="L246">
        <v>424</v>
      </c>
      <c r="M246">
        <v>9.9999999999999898E-3</v>
      </c>
    </row>
    <row r="247" spans="3:13" x14ac:dyDescent="0.25">
      <c r="C247">
        <v>423</v>
      </c>
      <c r="D247">
        <v>424</v>
      </c>
      <c r="E247">
        <v>427</v>
      </c>
      <c r="F247">
        <v>9.9999999999999898E-3</v>
      </c>
      <c r="G247" t="str">
        <f>exported_results[[#This Row],[a_node,b_node,c_node,asn_vol]]&amp;"_"&amp;exported_results[[#This Row],[b_node]]&amp;"_"&amp;exported_results[[#This Row],[c_node]]</f>
        <v>423_424_427</v>
      </c>
      <c r="H247" t="b">
        <f>exported_results[[#This Row],[a_node,b_node,c_node,asn_vol]]=exported_results[[#This Row],[c_node]]</f>
        <v>0</v>
      </c>
      <c r="J247">
        <v>423</v>
      </c>
      <c r="K247">
        <v>424</v>
      </c>
      <c r="L247">
        <v>427</v>
      </c>
      <c r="M247">
        <v>9.9999999999999898E-3</v>
      </c>
    </row>
    <row r="248" spans="3:13" x14ac:dyDescent="0.25">
      <c r="C248">
        <v>423</v>
      </c>
      <c r="D248">
        <v>424</v>
      </c>
      <c r="E248">
        <v>425</v>
      </c>
      <c r="F248">
        <v>9.9999999999999898E-3</v>
      </c>
      <c r="G248" t="str">
        <f>exported_results[[#This Row],[a_node,b_node,c_node,asn_vol]]&amp;"_"&amp;exported_results[[#This Row],[b_node]]&amp;"_"&amp;exported_results[[#This Row],[c_node]]</f>
        <v>423_424_425</v>
      </c>
      <c r="H248" t="b">
        <f>exported_results[[#This Row],[a_node,b_node,c_node,asn_vol]]=exported_results[[#This Row],[c_node]]</f>
        <v>0</v>
      </c>
      <c r="J248">
        <v>423</v>
      </c>
      <c r="K248">
        <v>424</v>
      </c>
      <c r="L248">
        <v>425</v>
      </c>
      <c r="M248">
        <v>9.9999999999999898E-3</v>
      </c>
    </row>
    <row r="249" spans="3:13" x14ac:dyDescent="0.25">
      <c r="C249">
        <v>420</v>
      </c>
      <c r="D249">
        <v>423</v>
      </c>
      <c r="E249">
        <v>424</v>
      </c>
      <c r="F249">
        <v>9.9999999999999898E-3</v>
      </c>
      <c r="G249" t="str">
        <f>exported_results[[#This Row],[a_node,b_node,c_node,asn_vol]]&amp;"_"&amp;exported_results[[#This Row],[b_node]]&amp;"_"&amp;exported_results[[#This Row],[c_node]]</f>
        <v>420_423_424</v>
      </c>
      <c r="H249" t="b">
        <f>exported_results[[#This Row],[a_node,b_node,c_node,asn_vol]]=exported_results[[#This Row],[c_node]]</f>
        <v>0</v>
      </c>
      <c r="J249">
        <v>420</v>
      </c>
      <c r="K249">
        <v>423</v>
      </c>
      <c r="L249">
        <v>424</v>
      </c>
      <c r="M249">
        <v>9.9999999999999898E-3</v>
      </c>
    </row>
    <row r="250" spans="3:13" x14ac:dyDescent="0.25">
      <c r="C250">
        <v>418</v>
      </c>
      <c r="D250">
        <v>419</v>
      </c>
      <c r="E250">
        <v>420</v>
      </c>
      <c r="F250">
        <v>9.9999999999999898E-3</v>
      </c>
      <c r="G250" t="str">
        <f>exported_results[[#This Row],[a_node,b_node,c_node,asn_vol]]&amp;"_"&amp;exported_results[[#This Row],[b_node]]&amp;"_"&amp;exported_results[[#This Row],[c_node]]</f>
        <v>418_419_420</v>
      </c>
      <c r="H250" t="b">
        <f>exported_results[[#This Row],[a_node,b_node,c_node,asn_vol]]=exported_results[[#This Row],[c_node]]</f>
        <v>0</v>
      </c>
      <c r="J250">
        <v>418</v>
      </c>
      <c r="K250">
        <v>419</v>
      </c>
      <c r="L250">
        <v>420</v>
      </c>
      <c r="M250">
        <v>9.9999999999999898E-3</v>
      </c>
    </row>
    <row r="251" spans="3:13" x14ac:dyDescent="0.25">
      <c r="C251">
        <v>419</v>
      </c>
      <c r="D251">
        <v>420</v>
      </c>
      <c r="E251">
        <v>423</v>
      </c>
      <c r="F251">
        <v>9.9999999999999898E-3</v>
      </c>
      <c r="G251" t="str">
        <f>exported_results[[#This Row],[a_node,b_node,c_node,asn_vol]]&amp;"_"&amp;exported_results[[#This Row],[b_node]]&amp;"_"&amp;exported_results[[#This Row],[c_node]]</f>
        <v>419_420_423</v>
      </c>
      <c r="H251" t="b">
        <f>exported_results[[#This Row],[a_node,b_node,c_node,asn_vol]]=exported_results[[#This Row],[c_node]]</f>
        <v>0</v>
      </c>
      <c r="J251">
        <v>419</v>
      </c>
      <c r="K251">
        <v>420</v>
      </c>
      <c r="L251">
        <v>423</v>
      </c>
      <c r="M251">
        <v>9.9999999999999898E-3</v>
      </c>
    </row>
    <row r="252" spans="3:13" x14ac:dyDescent="0.25">
      <c r="C252">
        <v>419</v>
      </c>
      <c r="D252">
        <v>420</v>
      </c>
      <c r="E252">
        <v>421</v>
      </c>
      <c r="F252">
        <v>9.9999999999999898E-3</v>
      </c>
      <c r="G252" t="str">
        <f>exported_results[[#This Row],[a_node,b_node,c_node,asn_vol]]&amp;"_"&amp;exported_results[[#This Row],[b_node]]&amp;"_"&amp;exported_results[[#This Row],[c_node]]</f>
        <v>419_420_421</v>
      </c>
      <c r="H252" t="b">
        <f>exported_results[[#This Row],[a_node,b_node,c_node,asn_vol]]=exported_results[[#This Row],[c_node]]</f>
        <v>0</v>
      </c>
      <c r="J252">
        <v>419</v>
      </c>
      <c r="K252">
        <v>420</v>
      </c>
      <c r="L252">
        <v>421</v>
      </c>
      <c r="M252">
        <v>9.9999999999999898E-3</v>
      </c>
    </row>
    <row r="253" spans="3:13" x14ac:dyDescent="0.25">
      <c r="C253">
        <v>406</v>
      </c>
      <c r="D253">
        <v>407</v>
      </c>
      <c r="E253">
        <v>409</v>
      </c>
      <c r="F253">
        <v>9.9999999999999898E-3</v>
      </c>
      <c r="G253" t="str">
        <f>exported_results[[#This Row],[a_node,b_node,c_node,asn_vol]]&amp;"_"&amp;exported_results[[#This Row],[b_node]]&amp;"_"&amp;exported_results[[#This Row],[c_node]]</f>
        <v>406_407_409</v>
      </c>
      <c r="H253" t="b">
        <f>exported_results[[#This Row],[a_node,b_node,c_node,asn_vol]]=exported_results[[#This Row],[c_node]]</f>
        <v>0</v>
      </c>
      <c r="J253">
        <v>406</v>
      </c>
      <c r="K253">
        <v>407</v>
      </c>
      <c r="L253">
        <v>409</v>
      </c>
      <c r="M253">
        <v>9.9999999999999898E-3</v>
      </c>
    </row>
    <row r="254" spans="3:13" x14ac:dyDescent="0.25">
      <c r="C254">
        <v>406</v>
      </c>
      <c r="D254">
        <v>407</v>
      </c>
      <c r="E254">
        <v>408</v>
      </c>
      <c r="F254">
        <v>9.9999999999999898E-3</v>
      </c>
      <c r="G254" t="str">
        <f>exported_results[[#This Row],[a_node,b_node,c_node,asn_vol]]&amp;"_"&amp;exported_results[[#This Row],[b_node]]&amp;"_"&amp;exported_results[[#This Row],[c_node]]</f>
        <v>406_407_408</v>
      </c>
      <c r="H254" t="b">
        <f>exported_results[[#This Row],[a_node,b_node,c_node,asn_vol]]=exported_results[[#This Row],[c_node]]</f>
        <v>0</v>
      </c>
      <c r="J254">
        <v>406</v>
      </c>
      <c r="K254">
        <v>407</v>
      </c>
      <c r="L254">
        <v>408</v>
      </c>
      <c r="M254">
        <v>9.9999999999999898E-3</v>
      </c>
    </row>
    <row r="255" spans="3:13" x14ac:dyDescent="0.25">
      <c r="C255">
        <v>408</v>
      </c>
      <c r="D255">
        <v>409</v>
      </c>
      <c r="E255">
        <v>410</v>
      </c>
      <c r="F255">
        <v>9.9999999999999898E-3</v>
      </c>
      <c r="G255" t="str">
        <f>exported_results[[#This Row],[a_node,b_node,c_node,asn_vol]]&amp;"_"&amp;exported_results[[#This Row],[b_node]]&amp;"_"&amp;exported_results[[#This Row],[c_node]]</f>
        <v>408_409_410</v>
      </c>
      <c r="H255" t="b">
        <f>exported_results[[#This Row],[a_node,b_node,c_node,asn_vol]]=exported_results[[#This Row],[c_node]]</f>
        <v>0</v>
      </c>
      <c r="J255">
        <v>408</v>
      </c>
      <c r="K255">
        <v>409</v>
      </c>
      <c r="L255">
        <v>410</v>
      </c>
      <c r="M255">
        <v>9.9999999999999898E-3</v>
      </c>
    </row>
    <row r="256" spans="3:13" x14ac:dyDescent="0.25">
      <c r="C256" s="33">
        <v>408</v>
      </c>
      <c r="D256">
        <v>320</v>
      </c>
      <c r="E256">
        <v>321</v>
      </c>
      <c r="F256">
        <v>340</v>
      </c>
      <c r="G256" t="str">
        <f>exported_results[[#This Row],[a_node,b_node,c_node,asn_vol]]&amp;"_"&amp;exported_results[[#This Row],[b_node]]&amp;"_"&amp;exported_results[[#This Row],[c_node]]</f>
        <v>408_320_321</v>
      </c>
      <c r="H256" t="b">
        <f>exported_results[[#This Row],[a_node,b_node,c_node,asn_vol]]=exported_results[[#This Row],[c_node]]</f>
        <v>0</v>
      </c>
      <c r="J256" s="33">
        <v>408</v>
      </c>
      <c r="K256">
        <v>320</v>
      </c>
      <c r="L256">
        <v>321</v>
      </c>
      <c r="M256">
        <v>340</v>
      </c>
    </row>
    <row r="257" spans="3:13" x14ac:dyDescent="0.25">
      <c r="C257">
        <v>408</v>
      </c>
      <c r="D257">
        <v>320</v>
      </c>
      <c r="E257">
        <v>408</v>
      </c>
      <c r="F257" s="29">
        <v>4.4814391445817104E-19</v>
      </c>
      <c r="G257" t="str">
        <f>exported_results[[#This Row],[a_node,b_node,c_node,asn_vol]]&amp;"_"&amp;exported_results[[#This Row],[b_node]]&amp;"_"&amp;exported_results[[#This Row],[c_node]]</f>
        <v>408_320_408</v>
      </c>
      <c r="H257" t="b">
        <f>exported_results[[#This Row],[a_node,b_node,c_node,asn_vol]]=exported_results[[#This Row],[c_node]]</f>
        <v>1</v>
      </c>
      <c r="J257">
        <v>408</v>
      </c>
      <c r="K257">
        <v>320</v>
      </c>
      <c r="L257">
        <v>408</v>
      </c>
      <c r="M257" s="29">
        <v>4.4814391445817104E-19</v>
      </c>
    </row>
    <row r="258" spans="3:13" x14ac:dyDescent="0.25">
      <c r="C258" s="33">
        <v>408</v>
      </c>
      <c r="D258">
        <v>320</v>
      </c>
      <c r="E258">
        <v>509</v>
      </c>
      <c r="F258">
        <v>1127.50000000002</v>
      </c>
      <c r="G258" t="str">
        <f>exported_results[[#This Row],[a_node,b_node,c_node,asn_vol]]&amp;"_"&amp;exported_results[[#This Row],[b_node]]&amp;"_"&amp;exported_results[[#This Row],[c_node]]</f>
        <v>408_320_509</v>
      </c>
      <c r="H258" t="b">
        <f>exported_results[[#This Row],[a_node,b_node,c_node,asn_vol]]=exported_results[[#This Row],[c_node]]</f>
        <v>0</v>
      </c>
      <c r="J258" s="33">
        <v>408</v>
      </c>
      <c r="K258">
        <v>320</v>
      </c>
      <c r="L258">
        <v>509</v>
      </c>
      <c r="M258">
        <v>1127.50000000002</v>
      </c>
    </row>
    <row r="259" spans="3:13" x14ac:dyDescent="0.25">
      <c r="C259">
        <v>409</v>
      </c>
      <c r="D259">
        <v>410</v>
      </c>
      <c r="E259">
        <v>411</v>
      </c>
      <c r="F259">
        <v>9.9999999999999898E-3</v>
      </c>
      <c r="G259" t="str">
        <f>exported_results[[#This Row],[a_node,b_node,c_node,asn_vol]]&amp;"_"&amp;exported_results[[#This Row],[b_node]]&amp;"_"&amp;exported_results[[#This Row],[c_node]]</f>
        <v>409_410_411</v>
      </c>
      <c r="H259" t="b">
        <f>exported_results[[#This Row],[a_node,b_node,c_node,asn_vol]]=exported_results[[#This Row],[c_node]]</f>
        <v>0</v>
      </c>
      <c r="J259">
        <v>409</v>
      </c>
      <c r="K259">
        <v>410</v>
      </c>
      <c r="L259">
        <v>411</v>
      </c>
      <c r="M259">
        <v>9.9999999999999898E-3</v>
      </c>
    </row>
    <row r="260" spans="3:13" x14ac:dyDescent="0.25">
      <c r="C260">
        <v>409</v>
      </c>
      <c r="D260">
        <v>410</v>
      </c>
      <c r="E260">
        <v>415</v>
      </c>
      <c r="F260">
        <v>9.9999999999999898E-3</v>
      </c>
      <c r="G260" t="str">
        <f>exported_results[[#This Row],[a_node,b_node,c_node,asn_vol]]&amp;"_"&amp;exported_results[[#This Row],[b_node]]&amp;"_"&amp;exported_results[[#This Row],[c_node]]</f>
        <v>409_410_415</v>
      </c>
      <c r="H260" t="b">
        <f>exported_results[[#This Row],[a_node,b_node,c_node,asn_vol]]=exported_results[[#This Row],[c_node]]</f>
        <v>0</v>
      </c>
      <c r="J260">
        <v>409</v>
      </c>
      <c r="K260">
        <v>410</v>
      </c>
      <c r="L260">
        <v>415</v>
      </c>
      <c r="M260">
        <v>9.9999999999999898E-3</v>
      </c>
    </row>
    <row r="261" spans="3:13" x14ac:dyDescent="0.25">
      <c r="C261">
        <v>400</v>
      </c>
      <c r="D261">
        <v>401</v>
      </c>
      <c r="E261">
        <v>403</v>
      </c>
      <c r="F261">
        <v>9.9999999999999898E-3</v>
      </c>
      <c r="G261" t="str">
        <f>exported_results[[#This Row],[a_node,b_node,c_node,asn_vol]]&amp;"_"&amp;exported_results[[#This Row],[b_node]]&amp;"_"&amp;exported_results[[#This Row],[c_node]]</f>
        <v>400_401_403</v>
      </c>
      <c r="H261" t="b">
        <f>exported_results[[#This Row],[a_node,b_node,c_node,asn_vol]]=exported_results[[#This Row],[c_node]]</f>
        <v>0</v>
      </c>
      <c r="J261">
        <v>400</v>
      </c>
      <c r="K261">
        <v>401</v>
      </c>
      <c r="L261">
        <v>403</v>
      </c>
      <c r="M261">
        <v>9.9999999999999898E-3</v>
      </c>
    </row>
    <row r="262" spans="3:13" x14ac:dyDescent="0.25">
      <c r="C262">
        <v>400</v>
      </c>
      <c r="D262">
        <v>401</v>
      </c>
      <c r="E262">
        <v>402</v>
      </c>
      <c r="F262">
        <v>9.9999999999999898E-3</v>
      </c>
      <c r="G262" t="str">
        <f>exported_results[[#This Row],[a_node,b_node,c_node,asn_vol]]&amp;"_"&amp;exported_results[[#This Row],[b_node]]&amp;"_"&amp;exported_results[[#This Row],[c_node]]</f>
        <v>400_401_402</v>
      </c>
      <c r="H262" t="b">
        <f>exported_results[[#This Row],[a_node,b_node,c_node,asn_vol]]=exported_results[[#This Row],[c_node]]</f>
        <v>0</v>
      </c>
      <c r="J262">
        <v>400</v>
      </c>
      <c r="K262">
        <v>401</v>
      </c>
      <c r="L262">
        <v>402</v>
      </c>
      <c r="M262">
        <v>9.9999999999999898E-3</v>
      </c>
    </row>
    <row r="263" spans="3:13" x14ac:dyDescent="0.25">
      <c r="C263">
        <v>426</v>
      </c>
      <c r="D263">
        <v>427</v>
      </c>
      <c r="E263">
        <v>428</v>
      </c>
      <c r="F263">
        <v>9.9999999999999898E-3</v>
      </c>
      <c r="G263" t="str">
        <f>exported_results[[#This Row],[a_node,b_node,c_node,asn_vol]]&amp;"_"&amp;exported_results[[#This Row],[b_node]]&amp;"_"&amp;exported_results[[#This Row],[c_node]]</f>
        <v>426_427_428</v>
      </c>
      <c r="H263" t="b">
        <f>exported_results[[#This Row],[a_node,b_node,c_node,asn_vol]]=exported_results[[#This Row],[c_node]]</f>
        <v>0</v>
      </c>
      <c r="J263">
        <v>426</v>
      </c>
      <c r="K263">
        <v>427</v>
      </c>
      <c r="L263">
        <v>428</v>
      </c>
      <c r="M263">
        <v>9.9999999999999898E-3</v>
      </c>
    </row>
    <row r="264" spans="3:13" x14ac:dyDescent="0.25">
      <c r="C264">
        <v>407</v>
      </c>
      <c r="D264">
        <v>409</v>
      </c>
      <c r="E264">
        <v>410</v>
      </c>
      <c r="F264">
        <v>9.9999999999999898E-3</v>
      </c>
      <c r="G264" t="str">
        <f>exported_results[[#This Row],[a_node,b_node,c_node,asn_vol]]&amp;"_"&amp;exported_results[[#This Row],[b_node]]&amp;"_"&amp;exported_results[[#This Row],[c_node]]</f>
        <v>407_409_410</v>
      </c>
      <c r="H264" t="b">
        <f>exported_results[[#This Row],[a_node,b_node,c_node,asn_vol]]=exported_results[[#This Row],[c_node]]</f>
        <v>0</v>
      </c>
      <c r="J264">
        <v>407</v>
      </c>
      <c r="K264">
        <v>409</v>
      </c>
      <c r="L264">
        <v>410</v>
      </c>
      <c r="M264">
        <v>9.9999999999999898E-3</v>
      </c>
    </row>
    <row r="265" spans="3:13" x14ac:dyDescent="0.25">
      <c r="C265">
        <v>407</v>
      </c>
      <c r="D265">
        <v>408</v>
      </c>
      <c r="E265">
        <v>409</v>
      </c>
      <c r="F265" s="29">
        <v>1.11514089360805E-22</v>
      </c>
      <c r="G265" t="str">
        <f>exported_results[[#This Row],[a_node,b_node,c_node,asn_vol]]&amp;"_"&amp;exported_results[[#This Row],[b_node]]&amp;"_"&amp;exported_results[[#This Row],[c_node]]</f>
        <v>407_408_409</v>
      </c>
      <c r="H265" t="b">
        <f>exported_results[[#This Row],[a_node,b_node,c_node,asn_vol]]=exported_results[[#This Row],[c_node]]</f>
        <v>0</v>
      </c>
      <c r="J265">
        <v>407</v>
      </c>
      <c r="K265">
        <v>408</v>
      </c>
      <c r="L265">
        <v>409</v>
      </c>
      <c r="M265" s="29">
        <v>1.11514089360805E-22</v>
      </c>
    </row>
    <row r="266" spans="3:13" x14ac:dyDescent="0.25">
      <c r="C266" s="33">
        <v>407</v>
      </c>
      <c r="D266">
        <v>408</v>
      </c>
      <c r="E266">
        <v>320</v>
      </c>
      <c r="F266">
        <v>297.5</v>
      </c>
      <c r="G266" t="str">
        <f>exported_results[[#This Row],[a_node,b_node,c_node,asn_vol]]&amp;"_"&amp;exported_results[[#This Row],[b_node]]&amp;"_"&amp;exported_results[[#This Row],[c_node]]</f>
        <v>407_408_320</v>
      </c>
      <c r="H266" t="b">
        <f>exported_results[[#This Row],[a_node,b_node,c_node,asn_vol]]=exported_results[[#This Row],[c_node]]</f>
        <v>0</v>
      </c>
      <c r="J266" s="33">
        <v>407</v>
      </c>
      <c r="K266">
        <v>408</v>
      </c>
      <c r="L266">
        <v>320</v>
      </c>
      <c r="M266">
        <v>297.5</v>
      </c>
    </row>
    <row r="267" spans="3:13" x14ac:dyDescent="0.25">
      <c r="C267" s="33">
        <v>407</v>
      </c>
      <c r="D267">
        <v>408</v>
      </c>
      <c r="E267">
        <v>513</v>
      </c>
      <c r="F267">
        <v>170</v>
      </c>
      <c r="G267" t="str">
        <f>exported_results[[#This Row],[a_node,b_node,c_node,asn_vol]]&amp;"_"&amp;exported_results[[#This Row],[b_node]]&amp;"_"&amp;exported_results[[#This Row],[c_node]]</f>
        <v>407_408_513</v>
      </c>
      <c r="H267" t="b">
        <f>exported_results[[#This Row],[a_node,b_node,c_node,asn_vol]]=exported_results[[#This Row],[c_node]]</f>
        <v>0</v>
      </c>
      <c r="J267" s="33">
        <v>407</v>
      </c>
      <c r="K267">
        <v>408</v>
      </c>
      <c r="L267">
        <v>513</v>
      </c>
      <c r="M267">
        <v>170</v>
      </c>
    </row>
    <row r="268" spans="3:13" x14ac:dyDescent="0.25">
      <c r="C268">
        <v>320</v>
      </c>
      <c r="D268">
        <v>321</v>
      </c>
      <c r="E268">
        <v>322</v>
      </c>
      <c r="F268">
        <v>9.9999999999999898E-3</v>
      </c>
      <c r="G268" t="str">
        <f>exported_results[[#This Row],[a_node,b_node,c_node,asn_vol]]&amp;"_"&amp;exported_results[[#This Row],[b_node]]&amp;"_"&amp;exported_results[[#This Row],[c_node]]</f>
        <v>320_321_322</v>
      </c>
      <c r="H268" t="b">
        <f>exported_results[[#This Row],[a_node,b_node,c_node,asn_vol]]=exported_results[[#This Row],[c_node]]</f>
        <v>0</v>
      </c>
      <c r="J268">
        <v>320</v>
      </c>
      <c r="K268">
        <v>321</v>
      </c>
      <c r="L268">
        <v>322</v>
      </c>
      <c r="M268">
        <v>9.9999999999999898E-3</v>
      </c>
    </row>
    <row r="269" spans="3:13" x14ac:dyDescent="0.25">
      <c r="C269" s="33">
        <v>320</v>
      </c>
      <c r="D269">
        <v>408</v>
      </c>
      <c r="E269">
        <v>409</v>
      </c>
      <c r="F269">
        <v>382.5</v>
      </c>
      <c r="G269" t="str">
        <f>exported_results[[#This Row],[a_node,b_node,c_node,asn_vol]]&amp;"_"&amp;exported_results[[#This Row],[b_node]]&amp;"_"&amp;exported_results[[#This Row],[c_node]]</f>
        <v>320_408_409</v>
      </c>
      <c r="H269" t="b">
        <f>exported_results[[#This Row],[a_node,b_node,c_node,asn_vol]]=exported_results[[#This Row],[c_node]]</f>
        <v>0</v>
      </c>
      <c r="J269" s="33">
        <v>320</v>
      </c>
      <c r="K269">
        <v>408</v>
      </c>
      <c r="L269">
        <v>409</v>
      </c>
      <c r="M269">
        <v>382.5</v>
      </c>
    </row>
    <row r="270" spans="3:13" x14ac:dyDescent="0.25">
      <c r="C270">
        <v>320</v>
      </c>
      <c r="D270">
        <v>408</v>
      </c>
      <c r="E270">
        <v>320</v>
      </c>
      <c r="F270">
        <v>9.9999999999999898E-3</v>
      </c>
      <c r="G270" t="str">
        <f>exported_results[[#This Row],[a_node,b_node,c_node,asn_vol]]&amp;"_"&amp;exported_results[[#This Row],[b_node]]&amp;"_"&amp;exported_results[[#This Row],[c_node]]</f>
        <v>320_408_320</v>
      </c>
      <c r="H270" t="b">
        <f>exported_results[[#This Row],[a_node,b_node,c_node,asn_vol]]=exported_results[[#This Row],[c_node]]</f>
        <v>1</v>
      </c>
      <c r="J270">
        <v>320</v>
      </c>
      <c r="K270">
        <v>408</v>
      </c>
      <c r="L270">
        <v>320</v>
      </c>
      <c r="M270">
        <v>9.9999999999999898E-3</v>
      </c>
    </row>
    <row r="271" spans="3:13" x14ac:dyDescent="0.25">
      <c r="C271" s="33">
        <v>320</v>
      </c>
      <c r="D271">
        <v>408</v>
      </c>
      <c r="E271">
        <v>513</v>
      </c>
      <c r="F271">
        <v>932.49000004242998</v>
      </c>
      <c r="G271" t="str">
        <f>exported_results[[#This Row],[a_node,b_node,c_node,asn_vol]]&amp;"_"&amp;exported_results[[#This Row],[b_node]]&amp;"_"&amp;exported_results[[#This Row],[c_node]]</f>
        <v>320_408_513</v>
      </c>
      <c r="H271" t="b">
        <f>exported_results[[#This Row],[a_node,b_node,c_node,asn_vol]]=exported_results[[#This Row],[c_node]]</f>
        <v>0</v>
      </c>
      <c r="J271" s="33">
        <v>320</v>
      </c>
      <c r="K271">
        <v>408</v>
      </c>
      <c r="L271">
        <v>513</v>
      </c>
      <c r="M271">
        <v>932.49000004242998</v>
      </c>
    </row>
    <row r="272" spans="3:13" x14ac:dyDescent="0.25">
      <c r="C272">
        <v>320</v>
      </c>
      <c r="D272">
        <v>509</v>
      </c>
      <c r="E272">
        <v>320</v>
      </c>
      <c r="F272" s="29">
        <v>1.1853455062666899E-19</v>
      </c>
      <c r="G272" t="str">
        <f>exported_results[[#This Row],[a_node,b_node,c_node,asn_vol]]&amp;"_"&amp;exported_results[[#This Row],[b_node]]&amp;"_"&amp;exported_results[[#This Row],[c_node]]</f>
        <v>320_509_320</v>
      </c>
      <c r="H272" t="b">
        <f>exported_results[[#This Row],[a_node,b_node,c_node,asn_vol]]=exported_results[[#This Row],[c_node]]</f>
        <v>1</v>
      </c>
      <c r="J272">
        <v>320</v>
      </c>
      <c r="K272">
        <v>509</v>
      </c>
      <c r="L272">
        <v>320</v>
      </c>
      <c r="M272" s="29">
        <v>1.1853455062666899E-19</v>
      </c>
    </row>
    <row r="273" spans="3:13" x14ac:dyDescent="0.25">
      <c r="C273" s="33">
        <v>320</v>
      </c>
      <c r="D273">
        <v>509</v>
      </c>
      <c r="E273">
        <v>504</v>
      </c>
      <c r="F273">
        <v>1020</v>
      </c>
      <c r="G273" t="str">
        <f>exported_results[[#This Row],[a_node,b_node,c_node,asn_vol]]&amp;"_"&amp;exported_results[[#This Row],[b_node]]&amp;"_"&amp;exported_results[[#This Row],[c_node]]</f>
        <v>320_509_504</v>
      </c>
      <c r="H273" t="b">
        <f>exported_results[[#This Row],[a_node,b_node,c_node,asn_vol]]=exported_results[[#This Row],[c_node]]</f>
        <v>0</v>
      </c>
      <c r="J273" s="33">
        <v>320</v>
      </c>
      <c r="K273">
        <v>509</v>
      </c>
      <c r="L273">
        <v>504</v>
      </c>
      <c r="M273">
        <v>1020</v>
      </c>
    </row>
    <row r="274" spans="3:13" x14ac:dyDescent="0.25">
      <c r="C274" s="33">
        <v>320</v>
      </c>
      <c r="D274">
        <v>509</v>
      </c>
      <c r="E274">
        <v>113</v>
      </c>
      <c r="F274">
        <v>170</v>
      </c>
      <c r="G274" t="str">
        <f>exported_results[[#This Row],[a_node,b_node,c_node,asn_vol]]&amp;"_"&amp;exported_results[[#This Row],[b_node]]&amp;"_"&amp;exported_results[[#This Row],[c_node]]</f>
        <v>320_509_113</v>
      </c>
      <c r="H274" t="b">
        <f>exported_results[[#This Row],[a_node,b_node,c_node,asn_vol]]=exported_results[[#This Row],[c_node]]</f>
        <v>0</v>
      </c>
      <c r="J274" s="33">
        <v>320</v>
      </c>
      <c r="K274">
        <v>509</v>
      </c>
      <c r="L274">
        <v>113</v>
      </c>
      <c r="M274">
        <v>170</v>
      </c>
    </row>
    <row r="275" spans="3:13" x14ac:dyDescent="0.25">
      <c r="C275" s="33">
        <v>320</v>
      </c>
      <c r="D275">
        <v>509</v>
      </c>
      <c r="E275">
        <v>510</v>
      </c>
      <c r="F275">
        <v>255</v>
      </c>
      <c r="G275" t="str">
        <f>exported_results[[#This Row],[a_node,b_node,c_node,asn_vol]]&amp;"_"&amp;exported_results[[#This Row],[b_node]]&amp;"_"&amp;exported_results[[#This Row],[c_node]]</f>
        <v>320_509_510</v>
      </c>
      <c r="H275" t="b">
        <f>exported_results[[#This Row],[a_node,b_node,c_node,asn_vol]]=exported_results[[#This Row],[c_node]]</f>
        <v>0</v>
      </c>
      <c r="J275" s="33">
        <v>320</v>
      </c>
      <c r="K275">
        <v>509</v>
      </c>
      <c r="L275">
        <v>510</v>
      </c>
      <c r="M275">
        <v>255</v>
      </c>
    </row>
    <row r="276" spans="3:13" x14ac:dyDescent="0.25">
      <c r="C276" s="33">
        <v>501</v>
      </c>
      <c r="D276">
        <v>505</v>
      </c>
      <c r="E276">
        <v>510</v>
      </c>
      <c r="F276">
        <v>680</v>
      </c>
      <c r="G276" t="str">
        <f>exported_results[[#This Row],[a_node,b_node,c_node,asn_vol]]&amp;"_"&amp;exported_results[[#This Row],[b_node]]&amp;"_"&amp;exported_results[[#This Row],[c_node]]</f>
        <v>501_505_510</v>
      </c>
      <c r="H276" t="b">
        <f>exported_results[[#This Row],[a_node,b_node,c_node,asn_vol]]=exported_results[[#This Row],[c_node]]</f>
        <v>0</v>
      </c>
      <c r="J276" s="33">
        <v>501</v>
      </c>
      <c r="K276">
        <v>505</v>
      </c>
      <c r="L276">
        <v>510</v>
      </c>
      <c r="M276">
        <v>680</v>
      </c>
    </row>
    <row r="277" spans="3:13" x14ac:dyDescent="0.25">
      <c r="C277">
        <v>501</v>
      </c>
      <c r="D277">
        <v>505</v>
      </c>
      <c r="E277">
        <v>501</v>
      </c>
      <c r="F277">
        <v>6.0875717416974898E-3</v>
      </c>
      <c r="G277" t="str">
        <f>exported_results[[#This Row],[a_node,b_node,c_node,asn_vol]]&amp;"_"&amp;exported_results[[#This Row],[b_node]]&amp;"_"&amp;exported_results[[#This Row],[c_node]]</f>
        <v>501_505_501</v>
      </c>
      <c r="H277" t="b">
        <f>exported_results[[#This Row],[a_node,b_node,c_node,asn_vol]]=exported_results[[#This Row],[c_node]]</f>
        <v>1</v>
      </c>
      <c r="J277">
        <v>501</v>
      </c>
      <c r="K277">
        <v>505</v>
      </c>
      <c r="L277">
        <v>501</v>
      </c>
      <c r="M277">
        <v>6.0875717416974898E-3</v>
      </c>
    </row>
    <row r="278" spans="3:13" x14ac:dyDescent="0.25">
      <c r="C278">
        <v>501</v>
      </c>
      <c r="D278">
        <v>505</v>
      </c>
      <c r="E278">
        <v>504</v>
      </c>
      <c r="F278">
        <v>85</v>
      </c>
      <c r="G278" t="str">
        <f>exported_results[[#This Row],[a_node,b_node,c_node,asn_vol]]&amp;"_"&amp;exported_results[[#This Row],[b_node]]&amp;"_"&amp;exported_results[[#This Row],[c_node]]</f>
        <v>501_505_504</v>
      </c>
      <c r="H278" t="b">
        <f>exported_results[[#This Row],[a_node,b_node,c_node,asn_vol]]=exported_results[[#This Row],[c_node]]</f>
        <v>0</v>
      </c>
      <c r="J278">
        <v>501</v>
      </c>
      <c r="K278">
        <v>505</v>
      </c>
      <c r="L278">
        <v>504</v>
      </c>
      <c r="M278">
        <v>85</v>
      </c>
    </row>
    <row r="279" spans="3:13" x14ac:dyDescent="0.25">
      <c r="C279" s="33">
        <v>501</v>
      </c>
      <c r="D279">
        <v>505</v>
      </c>
      <c r="E279">
        <v>506</v>
      </c>
      <c r="F279">
        <v>172.49999999999901</v>
      </c>
      <c r="G279" t="str">
        <f>exported_results[[#This Row],[a_node,b_node,c_node,asn_vol]]&amp;"_"&amp;exported_results[[#This Row],[b_node]]&amp;"_"&amp;exported_results[[#This Row],[c_node]]</f>
        <v>501_505_506</v>
      </c>
      <c r="H279" t="b">
        <f>exported_results[[#This Row],[a_node,b_node,c_node,asn_vol]]=exported_results[[#This Row],[c_node]]</f>
        <v>0</v>
      </c>
      <c r="J279" s="33">
        <v>501</v>
      </c>
      <c r="K279">
        <v>505</v>
      </c>
      <c r="L279">
        <v>506</v>
      </c>
      <c r="M279">
        <v>172.49999999999901</v>
      </c>
    </row>
    <row r="280" spans="3:13" x14ac:dyDescent="0.25">
      <c r="C280">
        <v>319</v>
      </c>
      <c r="D280">
        <v>320</v>
      </c>
      <c r="E280">
        <v>321</v>
      </c>
      <c r="F280" s="29">
        <v>9.1201094071947697E-23</v>
      </c>
      <c r="G280" t="str">
        <f>exported_results[[#This Row],[a_node,b_node,c_node,asn_vol]]&amp;"_"&amp;exported_results[[#This Row],[b_node]]&amp;"_"&amp;exported_results[[#This Row],[c_node]]</f>
        <v>319_320_321</v>
      </c>
      <c r="H280" t="b">
        <f>exported_results[[#This Row],[a_node,b_node,c_node,asn_vol]]=exported_results[[#This Row],[c_node]]</f>
        <v>0</v>
      </c>
      <c r="J280">
        <v>319</v>
      </c>
      <c r="K280">
        <v>320</v>
      </c>
      <c r="L280">
        <v>321</v>
      </c>
      <c r="M280" s="29">
        <v>9.1201094071947697E-23</v>
      </c>
    </row>
    <row r="281" spans="3:13" x14ac:dyDescent="0.25">
      <c r="C281" s="33">
        <v>319</v>
      </c>
      <c r="D281">
        <v>320</v>
      </c>
      <c r="E281">
        <v>408</v>
      </c>
      <c r="F281">
        <v>510</v>
      </c>
      <c r="G281" t="str">
        <f>exported_results[[#This Row],[a_node,b_node,c_node,asn_vol]]&amp;"_"&amp;exported_results[[#This Row],[b_node]]&amp;"_"&amp;exported_results[[#This Row],[c_node]]</f>
        <v>319_320_408</v>
      </c>
      <c r="H281" t="b">
        <f>exported_results[[#This Row],[a_node,b_node,c_node,asn_vol]]=exported_results[[#This Row],[c_node]]</f>
        <v>0</v>
      </c>
      <c r="J281" s="33">
        <v>319</v>
      </c>
      <c r="K281">
        <v>320</v>
      </c>
      <c r="L281">
        <v>408</v>
      </c>
      <c r="M281">
        <v>510</v>
      </c>
    </row>
    <row r="282" spans="3:13" x14ac:dyDescent="0.25">
      <c r="C282" s="33">
        <v>319</v>
      </c>
      <c r="D282">
        <v>320</v>
      </c>
      <c r="E282">
        <v>509</v>
      </c>
      <c r="F282">
        <v>297.5</v>
      </c>
      <c r="G282" t="str">
        <f>exported_results[[#This Row],[a_node,b_node,c_node,asn_vol]]&amp;"_"&amp;exported_results[[#This Row],[b_node]]&amp;"_"&amp;exported_results[[#This Row],[c_node]]</f>
        <v>319_320_509</v>
      </c>
      <c r="H282" t="b">
        <f>exported_results[[#This Row],[a_node,b_node,c_node,asn_vol]]=exported_results[[#This Row],[c_node]]</f>
        <v>0</v>
      </c>
      <c r="J282" s="33">
        <v>319</v>
      </c>
      <c r="K282">
        <v>320</v>
      </c>
      <c r="L282">
        <v>509</v>
      </c>
      <c r="M282">
        <v>297.5</v>
      </c>
    </row>
    <row r="283" spans="3:13" x14ac:dyDescent="0.25">
      <c r="C283">
        <v>319</v>
      </c>
      <c r="D283">
        <v>321</v>
      </c>
      <c r="E283">
        <v>322</v>
      </c>
      <c r="F283">
        <v>9.9999999999999898E-3</v>
      </c>
      <c r="G283" t="str">
        <f>exported_results[[#This Row],[a_node,b_node,c_node,asn_vol]]&amp;"_"&amp;exported_results[[#This Row],[b_node]]&amp;"_"&amp;exported_results[[#This Row],[c_node]]</f>
        <v>319_321_322</v>
      </c>
      <c r="H283" t="b">
        <f>exported_results[[#This Row],[a_node,b_node,c_node,asn_vol]]=exported_results[[#This Row],[c_node]]</f>
        <v>0</v>
      </c>
      <c r="J283">
        <v>319</v>
      </c>
      <c r="K283">
        <v>321</v>
      </c>
      <c r="L283">
        <v>322</v>
      </c>
      <c r="M283">
        <v>9.9999999999999898E-3</v>
      </c>
    </row>
    <row r="284" spans="3:13" x14ac:dyDescent="0.25">
      <c r="C284">
        <v>321</v>
      </c>
      <c r="D284">
        <v>322</v>
      </c>
      <c r="E284">
        <v>323</v>
      </c>
      <c r="F284">
        <v>9.9999999999999898E-3</v>
      </c>
      <c r="G284" t="str">
        <f>exported_results[[#This Row],[a_node,b_node,c_node,asn_vol]]&amp;"_"&amp;exported_results[[#This Row],[b_node]]&amp;"_"&amp;exported_results[[#This Row],[c_node]]</f>
        <v>321_322_323</v>
      </c>
      <c r="H284" t="b">
        <f>exported_results[[#This Row],[a_node,b_node,c_node,asn_vol]]=exported_results[[#This Row],[c_node]]</f>
        <v>0</v>
      </c>
      <c r="J284">
        <v>321</v>
      </c>
      <c r="K284">
        <v>322</v>
      </c>
      <c r="L284">
        <v>323</v>
      </c>
      <c r="M284">
        <v>9.9999999999999898E-3</v>
      </c>
    </row>
    <row r="285" spans="3:13" x14ac:dyDescent="0.25">
      <c r="C285">
        <v>321</v>
      </c>
      <c r="D285">
        <v>322</v>
      </c>
      <c r="E285">
        <v>324</v>
      </c>
      <c r="F285">
        <v>9.9999999999999898E-3</v>
      </c>
      <c r="G285" t="str">
        <f>exported_results[[#This Row],[a_node,b_node,c_node,asn_vol]]&amp;"_"&amp;exported_results[[#This Row],[b_node]]&amp;"_"&amp;exported_results[[#This Row],[c_node]]</f>
        <v>321_322_324</v>
      </c>
      <c r="H285" t="b">
        <f>exported_results[[#This Row],[a_node,b_node,c_node,asn_vol]]=exported_results[[#This Row],[c_node]]</f>
        <v>0</v>
      </c>
      <c r="J285">
        <v>321</v>
      </c>
      <c r="K285">
        <v>322</v>
      </c>
      <c r="L285">
        <v>324</v>
      </c>
      <c r="M285">
        <v>9.9999999999999898E-3</v>
      </c>
    </row>
    <row r="286" spans="3:13" x14ac:dyDescent="0.25">
      <c r="C286">
        <v>132</v>
      </c>
      <c r="D286">
        <v>133</v>
      </c>
      <c r="E286">
        <v>134</v>
      </c>
      <c r="F286">
        <v>9.9999999999999898E-3</v>
      </c>
      <c r="G286" t="str">
        <f>exported_results[[#This Row],[a_node,b_node,c_node,asn_vol]]&amp;"_"&amp;exported_results[[#This Row],[b_node]]&amp;"_"&amp;exported_results[[#This Row],[c_node]]</f>
        <v>132_133_134</v>
      </c>
      <c r="H286" t="b">
        <f>exported_results[[#This Row],[a_node,b_node,c_node,asn_vol]]=exported_results[[#This Row],[c_node]]</f>
        <v>0</v>
      </c>
      <c r="J286">
        <v>132</v>
      </c>
      <c r="K286">
        <v>133</v>
      </c>
      <c r="L286">
        <v>134</v>
      </c>
      <c r="M286">
        <v>9.9999999999999898E-3</v>
      </c>
    </row>
    <row r="287" spans="3:13" x14ac:dyDescent="0.25">
      <c r="C287">
        <v>132</v>
      </c>
      <c r="D287">
        <v>133</v>
      </c>
      <c r="E287">
        <v>136</v>
      </c>
      <c r="F287">
        <v>9.9999999999999898E-3</v>
      </c>
      <c r="G287" t="str">
        <f>exported_results[[#This Row],[a_node,b_node,c_node,asn_vol]]&amp;"_"&amp;exported_results[[#This Row],[b_node]]&amp;"_"&amp;exported_results[[#This Row],[c_node]]</f>
        <v>132_133_136</v>
      </c>
      <c r="H287" t="b">
        <f>exported_results[[#This Row],[a_node,b_node,c_node,asn_vol]]=exported_results[[#This Row],[c_node]]</f>
        <v>0</v>
      </c>
      <c r="J287">
        <v>132</v>
      </c>
      <c r="K287">
        <v>133</v>
      </c>
      <c r="L287">
        <v>136</v>
      </c>
      <c r="M287">
        <v>9.9999999999999898E-3</v>
      </c>
    </row>
    <row r="288" spans="3:13" x14ac:dyDescent="0.25">
      <c r="C288" s="33">
        <v>502</v>
      </c>
      <c r="D288">
        <v>506</v>
      </c>
      <c r="E288">
        <v>511</v>
      </c>
      <c r="F288">
        <v>960.89273388501397</v>
      </c>
      <c r="G288" t="str">
        <f>exported_results[[#This Row],[a_node,b_node,c_node,asn_vol]]&amp;"_"&amp;exported_results[[#This Row],[b_node]]&amp;"_"&amp;exported_results[[#This Row],[c_node]]</f>
        <v>502_506_511</v>
      </c>
      <c r="H288" t="b">
        <f>exported_results[[#This Row],[a_node,b_node,c_node,asn_vol]]=exported_results[[#This Row],[c_node]]</f>
        <v>0</v>
      </c>
      <c r="J288" s="33">
        <v>502</v>
      </c>
      <c r="K288">
        <v>506</v>
      </c>
      <c r="L288">
        <v>511</v>
      </c>
      <c r="M288">
        <v>960.89273388501397</v>
      </c>
    </row>
    <row r="289" spans="3:13" x14ac:dyDescent="0.25">
      <c r="C289">
        <v>502</v>
      </c>
      <c r="D289">
        <v>506</v>
      </c>
      <c r="E289">
        <v>502</v>
      </c>
      <c r="F289">
        <v>9.7316643584585798E-3</v>
      </c>
      <c r="G289" t="str">
        <f>exported_results[[#This Row],[a_node,b_node,c_node,asn_vol]]&amp;"_"&amp;exported_results[[#This Row],[b_node]]&amp;"_"&amp;exported_results[[#This Row],[c_node]]</f>
        <v>502_506_502</v>
      </c>
      <c r="H289" t="b">
        <f>exported_results[[#This Row],[a_node,b_node,c_node,asn_vol]]=exported_results[[#This Row],[c_node]]</f>
        <v>1</v>
      </c>
      <c r="J289">
        <v>502</v>
      </c>
      <c r="K289">
        <v>506</v>
      </c>
      <c r="L289">
        <v>502</v>
      </c>
      <c r="M289">
        <v>9.7316643584585798E-3</v>
      </c>
    </row>
    <row r="290" spans="3:13" x14ac:dyDescent="0.25">
      <c r="C290" s="33">
        <v>502</v>
      </c>
      <c r="D290">
        <v>506</v>
      </c>
      <c r="E290">
        <v>505</v>
      </c>
      <c r="F290">
        <v>241.029195089985</v>
      </c>
      <c r="G290" t="str">
        <f>exported_results[[#This Row],[a_node,b_node,c_node,asn_vol]]&amp;"_"&amp;exported_results[[#This Row],[b_node]]&amp;"_"&amp;exported_results[[#This Row],[c_node]]</f>
        <v>502_506_505</v>
      </c>
      <c r="H290" t="b">
        <f>exported_results[[#This Row],[a_node,b_node,c_node,asn_vol]]=exported_results[[#This Row],[c_node]]</f>
        <v>0</v>
      </c>
      <c r="J290" s="33">
        <v>502</v>
      </c>
      <c r="K290">
        <v>506</v>
      </c>
      <c r="L290">
        <v>505</v>
      </c>
      <c r="M290">
        <v>241.029195089985</v>
      </c>
    </row>
    <row r="291" spans="3:13" x14ac:dyDescent="0.25">
      <c r="C291" s="33">
        <v>502</v>
      </c>
      <c r="D291">
        <v>506</v>
      </c>
      <c r="E291">
        <v>507</v>
      </c>
      <c r="F291">
        <v>200.37550853854</v>
      </c>
      <c r="G291" t="str">
        <f>exported_results[[#This Row],[a_node,b_node,c_node,asn_vol]]&amp;"_"&amp;exported_results[[#This Row],[b_node]]&amp;"_"&amp;exported_results[[#This Row],[c_node]]</f>
        <v>502_506_507</v>
      </c>
      <c r="H291" t="b">
        <f>exported_results[[#This Row],[a_node,b_node,c_node,asn_vol]]=exported_results[[#This Row],[c_node]]</f>
        <v>0</v>
      </c>
      <c r="J291" s="33">
        <v>502</v>
      </c>
      <c r="K291">
        <v>506</v>
      </c>
      <c r="L291">
        <v>507</v>
      </c>
      <c r="M291">
        <v>200.37550853854</v>
      </c>
    </row>
    <row r="292" spans="3:13" x14ac:dyDescent="0.25">
      <c r="C292">
        <v>324</v>
      </c>
      <c r="D292">
        <v>325</v>
      </c>
      <c r="E292">
        <v>326</v>
      </c>
      <c r="F292">
        <v>9.9999999999999898E-3</v>
      </c>
      <c r="G292" t="str">
        <f>exported_results[[#This Row],[a_node,b_node,c_node,asn_vol]]&amp;"_"&amp;exported_results[[#This Row],[b_node]]&amp;"_"&amp;exported_results[[#This Row],[c_node]]</f>
        <v>324_325_326</v>
      </c>
      <c r="H292" t="b">
        <f>exported_results[[#This Row],[a_node,b_node,c_node,asn_vol]]=exported_results[[#This Row],[c_node]]</f>
        <v>0</v>
      </c>
      <c r="J292">
        <v>324</v>
      </c>
      <c r="K292">
        <v>325</v>
      </c>
      <c r="L292">
        <v>326</v>
      </c>
      <c r="M292">
        <v>9.9999999999999898E-3</v>
      </c>
    </row>
    <row r="293" spans="3:13" x14ac:dyDescent="0.25">
      <c r="C293">
        <v>324</v>
      </c>
      <c r="D293">
        <v>325</v>
      </c>
      <c r="E293">
        <v>327</v>
      </c>
      <c r="F293">
        <v>9.9999999999999898E-3</v>
      </c>
      <c r="G293" t="str">
        <f>exported_results[[#This Row],[a_node,b_node,c_node,asn_vol]]&amp;"_"&amp;exported_results[[#This Row],[b_node]]&amp;"_"&amp;exported_results[[#This Row],[c_node]]</f>
        <v>324_325_327</v>
      </c>
      <c r="H293" t="b">
        <f>exported_results[[#This Row],[a_node,b_node,c_node,asn_vol]]=exported_results[[#This Row],[c_node]]</f>
        <v>0</v>
      </c>
      <c r="J293">
        <v>324</v>
      </c>
      <c r="K293">
        <v>325</v>
      </c>
      <c r="L293">
        <v>327</v>
      </c>
      <c r="M293">
        <v>9.9999999999999898E-3</v>
      </c>
    </row>
    <row r="294" spans="3:13" x14ac:dyDescent="0.25">
      <c r="C294">
        <v>322</v>
      </c>
      <c r="D294">
        <v>323</v>
      </c>
      <c r="E294">
        <v>324</v>
      </c>
      <c r="F294" s="29">
        <v>2.02913059119864E-22</v>
      </c>
      <c r="G294" t="str">
        <f>exported_results[[#This Row],[a_node,b_node,c_node,asn_vol]]&amp;"_"&amp;exported_results[[#This Row],[b_node]]&amp;"_"&amp;exported_results[[#This Row],[c_node]]</f>
        <v>322_323_324</v>
      </c>
      <c r="H294" t="b">
        <f>exported_results[[#This Row],[a_node,b_node,c_node,asn_vol]]=exported_results[[#This Row],[c_node]]</f>
        <v>0</v>
      </c>
      <c r="J294">
        <v>322</v>
      </c>
      <c r="K294">
        <v>323</v>
      </c>
      <c r="L294">
        <v>324</v>
      </c>
      <c r="M294" s="29">
        <v>2.02913059119864E-22</v>
      </c>
    </row>
    <row r="295" spans="3:13" x14ac:dyDescent="0.25">
      <c r="C295" s="33">
        <v>322</v>
      </c>
      <c r="D295">
        <v>323</v>
      </c>
      <c r="E295">
        <v>405</v>
      </c>
      <c r="F295">
        <v>170</v>
      </c>
      <c r="G295" t="str">
        <f>exported_results[[#This Row],[a_node,b_node,c_node,asn_vol]]&amp;"_"&amp;exported_results[[#This Row],[b_node]]&amp;"_"&amp;exported_results[[#This Row],[c_node]]</f>
        <v>322_323_405</v>
      </c>
      <c r="H295" t="b">
        <f>exported_results[[#This Row],[a_node,b_node,c_node,asn_vol]]=exported_results[[#This Row],[c_node]]</f>
        <v>0</v>
      </c>
      <c r="J295" s="33">
        <v>322</v>
      </c>
      <c r="K295">
        <v>323</v>
      </c>
      <c r="L295">
        <v>405</v>
      </c>
      <c r="M295">
        <v>170</v>
      </c>
    </row>
    <row r="296" spans="3:13" x14ac:dyDescent="0.25">
      <c r="C296" s="33">
        <v>322</v>
      </c>
      <c r="D296">
        <v>323</v>
      </c>
      <c r="E296">
        <v>510</v>
      </c>
      <c r="F296">
        <v>382.5</v>
      </c>
      <c r="G296" t="str">
        <f>exported_results[[#This Row],[a_node,b_node,c_node,asn_vol]]&amp;"_"&amp;exported_results[[#This Row],[b_node]]&amp;"_"&amp;exported_results[[#This Row],[c_node]]</f>
        <v>322_323_510</v>
      </c>
      <c r="H296" t="b">
        <f>exported_results[[#This Row],[a_node,b_node,c_node,asn_vol]]=exported_results[[#This Row],[c_node]]</f>
        <v>0</v>
      </c>
      <c r="J296" s="33">
        <v>322</v>
      </c>
      <c r="K296">
        <v>323</v>
      </c>
      <c r="L296">
        <v>510</v>
      </c>
      <c r="M296">
        <v>382.5</v>
      </c>
    </row>
    <row r="297" spans="3:13" x14ac:dyDescent="0.25">
      <c r="C297">
        <v>322</v>
      </c>
      <c r="D297">
        <v>324</v>
      </c>
      <c r="E297">
        <v>325</v>
      </c>
      <c r="F297">
        <v>9.9999999999999898E-3</v>
      </c>
      <c r="G297" t="str">
        <f>exported_results[[#This Row],[a_node,b_node,c_node,asn_vol]]&amp;"_"&amp;exported_results[[#This Row],[b_node]]&amp;"_"&amp;exported_results[[#This Row],[c_node]]</f>
        <v>322_324_325</v>
      </c>
      <c r="H297" t="b">
        <f>exported_results[[#This Row],[a_node,b_node,c_node,asn_vol]]=exported_results[[#This Row],[c_node]]</f>
        <v>0</v>
      </c>
      <c r="J297">
        <v>322</v>
      </c>
      <c r="K297">
        <v>324</v>
      </c>
      <c r="L297">
        <v>325</v>
      </c>
      <c r="M297">
        <v>9.9999999999999898E-3</v>
      </c>
    </row>
    <row r="298" spans="3:13" x14ac:dyDescent="0.25">
      <c r="C298">
        <v>133</v>
      </c>
      <c r="D298">
        <v>136</v>
      </c>
      <c r="E298">
        <v>137</v>
      </c>
      <c r="F298">
        <v>9.9999999999999898E-3</v>
      </c>
      <c r="G298" t="str">
        <f>exported_results[[#This Row],[a_node,b_node,c_node,asn_vol]]&amp;"_"&amp;exported_results[[#This Row],[b_node]]&amp;"_"&amp;exported_results[[#This Row],[c_node]]</f>
        <v>133_136_137</v>
      </c>
      <c r="H298" t="b">
        <f>exported_results[[#This Row],[a_node,b_node,c_node,asn_vol]]=exported_results[[#This Row],[c_node]]</f>
        <v>0</v>
      </c>
      <c r="J298">
        <v>133</v>
      </c>
      <c r="K298">
        <v>136</v>
      </c>
      <c r="L298">
        <v>137</v>
      </c>
      <c r="M298">
        <v>9.9999999999999898E-3</v>
      </c>
    </row>
    <row r="299" spans="3:13" x14ac:dyDescent="0.25">
      <c r="C299">
        <v>131</v>
      </c>
      <c r="D299">
        <v>132</v>
      </c>
      <c r="E299">
        <v>133</v>
      </c>
      <c r="F299">
        <v>9.9999999999999898E-3</v>
      </c>
      <c r="G299" t="str">
        <f>exported_results[[#This Row],[a_node,b_node,c_node,asn_vol]]&amp;"_"&amp;exported_results[[#This Row],[b_node]]&amp;"_"&amp;exported_results[[#This Row],[c_node]]</f>
        <v>131_132_133</v>
      </c>
      <c r="H299" t="b">
        <f>exported_results[[#This Row],[a_node,b_node,c_node,asn_vol]]=exported_results[[#This Row],[c_node]]</f>
        <v>0</v>
      </c>
      <c r="J299">
        <v>131</v>
      </c>
      <c r="K299">
        <v>132</v>
      </c>
      <c r="L299">
        <v>133</v>
      </c>
      <c r="M299">
        <v>9.9999999999999898E-3</v>
      </c>
    </row>
    <row r="300" spans="3:13" x14ac:dyDescent="0.25">
      <c r="C300">
        <v>129</v>
      </c>
      <c r="D300">
        <v>132</v>
      </c>
      <c r="E300">
        <v>133</v>
      </c>
      <c r="F300">
        <v>9.9999999999999898E-3</v>
      </c>
      <c r="G300" t="str">
        <f>exported_results[[#This Row],[a_node,b_node,c_node,asn_vol]]&amp;"_"&amp;exported_results[[#This Row],[b_node]]&amp;"_"&amp;exported_results[[#This Row],[c_node]]</f>
        <v>129_132_133</v>
      </c>
      <c r="H300" t="b">
        <f>exported_results[[#This Row],[a_node,b_node,c_node,asn_vol]]=exported_results[[#This Row],[c_node]]</f>
        <v>0</v>
      </c>
      <c r="J300">
        <v>129</v>
      </c>
      <c r="K300">
        <v>132</v>
      </c>
      <c r="L300">
        <v>133</v>
      </c>
      <c r="M300">
        <v>9.9999999999999898E-3</v>
      </c>
    </row>
    <row r="301" spans="3:13" x14ac:dyDescent="0.25">
      <c r="C301" s="33">
        <v>505</v>
      </c>
      <c r="D301">
        <v>510</v>
      </c>
      <c r="E301">
        <v>323</v>
      </c>
      <c r="F301">
        <v>765</v>
      </c>
      <c r="G301" t="str">
        <f>exported_results[[#This Row],[a_node,b_node,c_node,asn_vol]]&amp;"_"&amp;exported_results[[#This Row],[b_node]]&amp;"_"&amp;exported_results[[#This Row],[c_node]]</f>
        <v>505_510_323</v>
      </c>
      <c r="H301" t="b">
        <f>exported_results[[#This Row],[a_node,b_node,c_node,asn_vol]]=exported_results[[#This Row],[c_node]]</f>
        <v>0</v>
      </c>
      <c r="J301" s="33">
        <v>505</v>
      </c>
      <c r="K301">
        <v>510</v>
      </c>
      <c r="L301">
        <v>323</v>
      </c>
      <c r="M301">
        <v>765</v>
      </c>
    </row>
    <row r="302" spans="3:13" x14ac:dyDescent="0.25">
      <c r="C302">
        <v>505</v>
      </c>
      <c r="D302">
        <v>510</v>
      </c>
      <c r="E302">
        <v>505</v>
      </c>
      <c r="F302">
        <v>9.9999999999999898E-3</v>
      </c>
      <c r="G302" t="str">
        <f>exported_results[[#This Row],[a_node,b_node,c_node,asn_vol]]&amp;"_"&amp;exported_results[[#This Row],[b_node]]&amp;"_"&amp;exported_results[[#This Row],[c_node]]</f>
        <v>505_510_505</v>
      </c>
      <c r="H302" t="b">
        <f>exported_results[[#This Row],[a_node,b_node,c_node,asn_vol]]=exported_results[[#This Row],[c_node]]</f>
        <v>1</v>
      </c>
      <c r="J302">
        <v>505</v>
      </c>
      <c r="K302">
        <v>510</v>
      </c>
      <c r="L302">
        <v>505</v>
      </c>
      <c r="M302">
        <v>9.9999999999999898E-3</v>
      </c>
    </row>
    <row r="303" spans="3:13" x14ac:dyDescent="0.25">
      <c r="C303">
        <v>505</v>
      </c>
      <c r="D303">
        <v>510</v>
      </c>
      <c r="E303">
        <v>509</v>
      </c>
      <c r="F303">
        <v>42.5</v>
      </c>
      <c r="G303" t="str">
        <f>exported_results[[#This Row],[a_node,b_node,c_node,asn_vol]]&amp;"_"&amp;exported_results[[#This Row],[b_node]]&amp;"_"&amp;exported_results[[#This Row],[c_node]]</f>
        <v>505_510_509</v>
      </c>
      <c r="H303" t="b">
        <f>exported_results[[#This Row],[a_node,b_node,c_node,asn_vol]]=exported_results[[#This Row],[c_node]]</f>
        <v>0</v>
      </c>
      <c r="J303">
        <v>505</v>
      </c>
      <c r="K303">
        <v>510</v>
      </c>
      <c r="L303">
        <v>509</v>
      </c>
      <c r="M303">
        <v>42.5</v>
      </c>
    </row>
    <row r="304" spans="3:13" x14ac:dyDescent="0.25">
      <c r="C304" s="33">
        <v>505</v>
      </c>
      <c r="D304">
        <v>510</v>
      </c>
      <c r="E304">
        <v>511</v>
      </c>
      <c r="F304">
        <v>114.99999999999901</v>
      </c>
      <c r="G304" t="str">
        <f>exported_results[[#This Row],[a_node,b_node,c_node,asn_vol]]&amp;"_"&amp;exported_results[[#This Row],[b_node]]&amp;"_"&amp;exported_results[[#This Row],[c_node]]</f>
        <v>505_510_511</v>
      </c>
      <c r="H304" t="b">
        <f>exported_results[[#This Row],[a_node,b_node,c_node,asn_vol]]=exported_results[[#This Row],[c_node]]</f>
        <v>0</v>
      </c>
      <c r="J304" s="33">
        <v>505</v>
      </c>
      <c r="K304">
        <v>510</v>
      </c>
      <c r="L304">
        <v>511</v>
      </c>
      <c r="M304">
        <v>114.99999999999901</v>
      </c>
    </row>
    <row r="305" spans="3:13" x14ac:dyDescent="0.25">
      <c r="C305" s="33">
        <v>505</v>
      </c>
      <c r="D305">
        <v>504</v>
      </c>
      <c r="E305">
        <v>509</v>
      </c>
      <c r="F305">
        <v>114.99999999999901</v>
      </c>
      <c r="G305" t="str">
        <f>exported_results[[#This Row],[a_node,b_node,c_node,asn_vol]]&amp;"_"&amp;exported_results[[#This Row],[b_node]]&amp;"_"&amp;exported_results[[#This Row],[c_node]]</f>
        <v>505_504_509</v>
      </c>
      <c r="H305" t="b">
        <f>exported_results[[#This Row],[a_node,b_node,c_node,asn_vol]]=exported_results[[#This Row],[c_node]]</f>
        <v>0</v>
      </c>
      <c r="J305" s="33">
        <v>505</v>
      </c>
      <c r="K305">
        <v>504</v>
      </c>
      <c r="L305">
        <v>509</v>
      </c>
      <c r="M305">
        <v>114.99999999999901</v>
      </c>
    </row>
    <row r="306" spans="3:13" x14ac:dyDescent="0.25">
      <c r="C306" s="33">
        <v>505</v>
      </c>
      <c r="D306">
        <v>504</v>
      </c>
      <c r="E306">
        <v>500</v>
      </c>
      <c r="F306">
        <v>114.99999999999901</v>
      </c>
      <c r="G306" t="str">
        <f>exported_results[[#This Row],[a_node,b_node,c_node,asn_vol]]&amp;"_"&amp;exported_results[[#This Row],[b_node]]&amp;"_"&amp;exported_results[[#This Row],[c_node]]</f>
        <v>505_504_500</v>
      </c>
      <c r="H306" t="b">
        <f>exported_results[[#This Row],[a_node,b_node,c_node,asn_vol]]=exported_results[[#This Row],[c_node]]</f>
        <v>0</v>
      </c>
      <c r="J306" s="33">
        <v>505</v>
      </c>
      <c r="K306">
        <v>504</v>
      </c>
      <c r="L306">
        <v>500</v>
      </c>
      <c r="M306">
        <v>114.99999999999901</v>
      </c>
    </row>
    <row r="307" spans="3:13" x14ac:dyDescent="0.25">
      <c r="C307" s="33">
        <v>505</v>
      </c>
      <c r="D307">
        <v>504</v>
      </c>
      <c r="E307">
        <v>110</v>
      </c>
      <c r="F307">
        <v>834.99999999998795</v>
      </c>
      <c r="G307" t="str">
        <f>exported_results[[#This Row],[a_node,b_node,c_node,asn_vol]]&amp;"_"&amp;exported_results[[#This Row],[b_node]]&amp;"_"&amp;exported_results[[#This Row],[c_node]]</f>
        <v>505_504_110</v>
      </c>
      <c r="H307" t="b">
        <f>exported_results[[#This Row],[a_node,b_node,c_node,asn_vol]]=exported_results[[#This Row],[c_node]]</f>
        <v>0</v>
      </c>
      <c r="J307" s="33">
        <v>505</v>
      </c>
      <c r="K307">
        <v>504</v>
      </c>
      <c r="L307">
        <v>110</v>
      </c>
      <c r="M307">
        <v>834.99999999998795</v>
      </c>
    </row>
    <row r="308" spans="3:13" x14ac:dyDescent="0.25">
      <c r="C308">
        <v>505</v>
      </c>
      <c r="D308">
        <v>504</v>
      </c>
      <c r="E308">
        <v>505</v>
      </c>
      <c r="F308">
        <v>9.9999999999999898E-3</v>
      </c>
      <c r="G308" t="str">
        <f>exported_results[[#This Row],[a_node,b_node,c_node,asn_vol]]&amp;"_"&amp;exported_results[[#This Row],[b_node]]&amp;"_"&amp;exported_results[[#This Row],[c_node]]</f>
        <v>505_504_505</v>
      </c>
      <c r="H308" t="b">
        <f>exported_results[[#This Row],[a_node,b_node,c_node,asn_vol]]=exported_results[[#This Row],[c_node]]</f>
        <v>1</v>
      </c>
      <c r="J308">
        <v>505</v>
      </c>
      <c r="K308">
        <v>504</v>
      </c>
      <c r="L308">
        <v>505</v>
      </c>
      <c r="M308">
        <v>9.9999999999999898E-3</v>
      </c>
    </row>
    <row r="309" spans="3:13" x14ac:dyDescent="0.25">
      <c r="C309" s="33">
        <v>505</v>
      </c>
      <c r="D309">
        <v>506</v>
      </c>
      <c r="E309">
        <v>511</v>
      </c>
      <c r="F309">
        <v>212.5</v>
      </c>
      <c r="G309" t="str">
        <f>exported_results[[#This Row],[a_node,b_node,c_node,asn_vol]]&amp;"_"&amp;exported_results[[#This Row],[b_node]]&amp;"_"&amp;exported_results[[#This Row],[c_node]]</f>
        <v>505_506_511</v>
      </c>
      <c r="H309" t="b">
        <f>exported_results[[#This Row],[a_node,b_node,c_node,asn_vol]]=exported_results[[#This Row],[c_node]]</f>
        <v>0</v>
      </c>
      <c r="J309" s="33">
        <v>505</v>
      </c>
      <c r="K309">
        <v>506</v>
      </c>
      <c r="L309">
        <v>511</v>
      </c>
      <c r="M309">
        <v>212.5</v>
      </c>
    </row>
    <row r="310" spans="3:13" x14ac:dyDescent="0.25">
      <c r="C310" s="33">
        <v>505</v>
      </c>
      <c r="D310">
        <v>506</v>
      </c>
      <c r="E310">
        <v>502</v>
      </c>
      <c r="F310">
        <v>127.5</v>
      </c>
      <c r="G310" t="str">
        <f>exported_results[[#This Row],[a_node,b_node,c_node,asn_vol]]&amp;"_"&amp;exported_results[[#This Row],[b_node]]&amp;"_"&amp;exported_results[[#This Row],[c_node]]</f>
        <v>505_506_502</v>
      </c>
      <c r="H310" t="b">
        <f>exported_results[[#This Row],[a_node,b_node,c_node,asn_vol]]=exported_results[[#This Row],[c_node]]</f>
        <v>0</v>
      </c>
      <c r="J310" s="33">
        <v>505</v>
      </c>
      <c r="K310">
        <v>506</v>
      </c>
      <c r="L310">
        <v>502</v>
      </c>
      <c r="M310">
        <v>127.5</v>
      </c>
    </row>
    <row r="311" spans="3:13" x14ac:dyDescent="0.25">
      <c r="C311">
        <v>505</v>
      </c>
      <c r="D311">
        <v>506</v>
      </c>
      <c r="E311">
        <v>505</v>
      </c>
      <c r="F311" s="29">
        <v>8.4153392454438995E-20</v>
      </c>
      <c r="G311" t="str">
        <f>exported_results[[#This Row],[a_node,b_node,c_node,asn_vol]]&amp;"_"&amp;exported_results[[#This Row],[b_node]]&amp;"_"&amp;exported_results[[#This Row],[c_node]]</f>
        <v>505_506_505</v>
      </c>
      <c r="H311" t="b">
        <f>exported_results[[#This Row],[a_node,b_node,c_node,asn_vol]]=exported_results[[#This Row],[c_node]]</f>
        <v>1</v>
      </c>
      <c r="J311">
        <v>505</v>
      </c>
      <c r="K311">
        <v>506</v>
      </c>
      <c r="L311">
        <v>505</v>
      </c>
      <c r="M311" s="29">
        <v>8.4153392454438995E-20</v>
      </c>
    </row>
    <row r="312" spans="3:13" x14ac:dyDescent="0.25">
      <c r="C312" s="33">
        <v>505</v>
      </c>
      <c r="D312">
        <v>506</v>
      </c>
      <c r="E312">
        <v>507</v>
      </c>
      <c r="F312">
        <v>850</v>
      </c>
      <c r="G312" t="str">
        <f>exported_results[[#This Row],[a_node,b_node,c_node,asn_vol]]&amp;"_"&amp;exported_results[[#This Row],[b_node]]&amp;"_"&amp;exported_results[[#This Row],[c_node]]</f>
        <v>505_506_507</v>
      </c>
      <c r="H312" t="b">
        <f>exported_results[[#This Row],[a_node,b_node,c_node,asn_vol]]=exported_results[[#This Row],[c_node]]</f>
        <v>0</v>
      </c>
      <c r="J312" s="33">
        <v>505</v>
      </c>
      <c r="K312">
        <v>506</v>
      </c>
      <c r="L312">
        <v>507</v>
      </c>
      <c r="M312">
        <v>850</v>
      </c>
    </row>
    <row r="313" spans="3:13" x14ac:dyDescent="0.25">
      <c r="C313" s="33">
        <v>504</v>
      </c>
      <c r="D313">
        <v>509</v>
      </c>
      <c r="E313">
        <v>320</v>
      </c>
      <c r="F313">
        <v>968.75000000001</v>
      </c>
      <c r="G313" t="str">
        <f>exported_results[[#This Row],[a_node,b_node,c_node,asn_vol]]&amp;"_"&amp;exported_results[[#This Row],[b_node]]&amp;"_"&amp;exported_results[[#This Row],[c_node]]</f>
        <v>504_509_320</v>
      </c>
      <c r="H313" t="b">
        <f>exported_results[[#This Row],[a_node,b_node,c_node,asn_vol]]=exported_results[[#This Row],[c_node]]</f>
        <v>0</v>
      </c>
      <c r="J313" s="33">
        <v>504</v>
      </c>
      <c r="K313">
        <v>509</v>
      </c>
      <c r="L313">
        <v>320</v>
      </c>
      <c r="M313">
        <v>968.75000000001</v>
      </c>
    </row>
    <row r="314" spans="3:13" x14ac:dyDescent="0.25">
      <c r="C314">
        <v>504</v>
      </c>
      <c r="D314">
        <v>509</v>
      </c>
      <c r="E314">
        <v>504</v>
      </c>
      <c r="F314">
        <v>9.9999999999999898E-3</v>
      </c>
      <c r="G314" t="str">
        <f>exported_results[[#This Row],[a_node,b_node,c_node,asn_vol]]&amp;"_"&amp;exported_results[[#This Row],[b_node]]&amp;"_"&amp;exported_results[[#This Row],[c_node]]</f>
        <v>504_509_504</v>
      </c>
      <c r="H314" t="b">
        <f>exported_results[[#This Row],[a_node,b_node,c_node,asn_vol]]=exported_results[[#This Row],[c_node]]</f>
        <v>1</v>
      </c>
      <c r="J314">
        <v>504</v>
      </c>
      <c r="K314">
        <v>509</v>
      </c>
      <c r="L314">
        <v>504</v>
      </c>
      <c r="M314">
        <v>9.9999999999999898E-3</v>
      </c>
    </row>
    <row r="315" spans="3:13" x14ac:dyDescent="0.25">
      <c r="C315">
        <v>504</v>
      </c>
      <c r="D315">
        <v>509</v>
      </c>
      <c r="E315">
        <v>113</v>
      </c>
      <c r="F315">
        <v>57.499999999999901</v>
      </c>
      <c r="G315" t="str">
        <f>exported_results[[#This Row],[a_node,b_node,c_node,asn_vol]]&amp;"_"&amp;exported_results[[#This Row],[b_node]]&amp;"_"&amp;exported_results[[#This Row],[c_node]]</f>
        <v>504_509_113</v>
      </c>
      <c r="H315" t="b">
        <f>exported_results[[#This Row],[a_node,b_node,c_node,asn_vol]]=exported_results[[#This Row],[c_node]]</f>
        <v>0</v>
      </c>
      <c r="J315">
        <v>504</v>
      </c>
      <c r="K315">
        <v>509</v>
      </c>
      <c r="L315">
        <v>113</v>
      </c>
      <c r="M315">
        <v>57.499999999999901</v>
      </c>
    </row>
    <row r="316" spans="3:13" x14ac:dyDescent="0.25">
      <c r="C316" s="33">
        <v>504</v>
      </c>
      <c r="D316">
        <v>509</v>
      </c>
      <c r="E316">
        <v>510</v>
      </c>
      <c r="F316">
        <v>114.99999999999901</v>
      </c>
      <c r="G316" t="str">
        <f>exported_results[[#This Row],[a_node,b_node,c_node,asn_vol]]&amp;"_"&amp;exported_results[[#This Row],[b_node]]&amp;"_"&amp;exported_results[[#This Row],[c_node]]</f>
        <v>504_509_510</v>
      </c>
      <c r="H316" t="b">
        <f>exported_results[[#This Row],[a_node,b_node,c_node,asn_vol]]=exported_results[[#This Row],[c_node]]</f>
        <v>0</v>
      </c>
      <c r="J316" s="33">
        <v>504</v>
      </c>
      <c r="K316">
        <v>509</v>
      </c>
      <c r="L316">
        <v>510</v>
      </c>
      <c r="M316">
        <v>114.99999999999901</v>
      </c>
    </row>
    <row r="317" spans="3:13" x14ac:dyDescent="0.25">
      <c r="C317" s="33">
        <v>504</v>
      </c>
      <c r="D317">
        <v>110</v>
      </c>
      <c r="E317">
        <v>111</v>
      </c>
      <c r="F317">
        <v>212.5</v>
      </c>
      <c r="G317" t="str">
        <f>exported_results[[#This Row],[a_node,b_node,c_node,asn_vol]]&amp;"_"&amp;exported_results[[#This Row],[b_node]]&amp;"_"&amp;exported_results[[#This Row],[c_node]]</f>
        <v>504_110_111</v>
      </c>
      <c r="H317" t="b">
        <f>exported_results[[#This Row],[a_node,b_node,c_node,asn_vol]]=exported_results[[#This Row],[c_node]]</f>
        <v>0</v>
      </c>
      <c r="J317" s="33">
        <v>504</v>
      </c>
      <c r="K317">
        <v>110</v>
      </c>
      <c r="L317">
        <v>111</v>
      </c>
      <c r="M317">
        <v>212.5</v>
      </c>
    </row>
    <row r="318" spans="3:13" x14ac:dyDescent="0.25">
      <c r="C318" s="33">
        <v>504</v>
      </c>
      <c r="D318">
        <v>110</v>
      </c>
      <c r="E318">
        <v>227</v>
      </c>
      <c r="F318">
        <v>1092.49999999999</v>
      </c>
      <c r="G318" t="str">
        <f>exported_results[[#This Row],[a_node,b_node,c_node,asn_vol]]&amp;"_"&amp;exported_results[[#This Row],[b_node]]&amp;"_"&amp;exported_results[[#This Row],[c_node]]</f>
        <v>504_110_227</v>
      </c>
      <c r="H318" t="b">
        <f>exported_results[[#This Row],[a_node,b_node,c_node,asn_vol]]=exported_results[[#This Row],[c_node]]</f>
        <v>0</v>
      </c>
      <c r="J318" s="33">
        <v>504</v>
      </c>
      <c r="K318">
        <v>110</v>
      </c>
      <c r="L318">
        <v>227</v>
      </c>
      <c r="M318">
        <v>1092.49999999999</v>
      </c>
    </row>
    <row r="319" spans="3:13" x14ac:dyDescent="0.25">
      <c r="C319">
        <v>504</v>
      </c>
      <c r="D319">
        <v>110</v>
      </c>
      <c r="E319">
        <v>504</v>
      </c>
      <c r="F319">
        <v>9.9999999999999898E-3</v>
      </c>
      <c r="G319" t="str">
        <f>exported_results[[#This Row],[a_node,b_node,c_node,asn_vol]]&amp;"_"&amp;exported_results[[#This Row],[b_node]]&amp;"_"&amp;exported_results[[#This Row],[c_node]]</f>
        <v>504_110_504</v>
      </c>
      <c r="H319" t="b">
        <f>exported_results[[#This Row],[a_node,b_node,c_node,asn_vol]]=exported_results[[#This Row],[c_node]]</f>
        <v>1</v>
      </c>
      <c r="J319">
        <v>504</v>
      </c>
      <c r="K319">
        <v>110</v>
      </c>
      <c r="L319">
        <v>504</v>
      </c>
      <c r="M319">
        <v>9.9999999999999898E-3</v>
      </c>
    </row>
    <row r="320" spans="3:13" x14ac:dyDescent="0.25">
      <c r="C320">
        <v>504</v>
      </c>
      <c r="D320">
        <v>505</v>
      </c>
      <c r="E320">
        <v>510</v>
      </c>
      <c r="F320">
        <v>85</v>
      </c>
      <c r="G320" t="str">
        <f>exported_results[[#This Row],[a_node,b_node,c_node,asn_vol]]&amp;"_"&amp;exported_results[[#This Row],[b_node]]&amp;"_"&amp;exported_results[[#This Row],[c_node]]</f>
        <v>504_505_510</v>
      </c>
      <c r="H320" t="b">
        <f>exported_results[[#This Row],[a_node,b_node,c_node,asn_vol]]=exported_results[[#This Row],[c_node]]</f>
        <v>0</v>
      </c>
      <c r="J320">
        <v>504</v>
      </c>
      <c r="K320">
        <v>505</v>
      </c>
      <c r="L320">
        <v>510</v>
      </c>
      <c r="M320">
        <v>85</v>
      </c>
    </row>
    <row r="321" spans="3:13" x14ac:dyDescent="0.25">
      <c r="C321" s="33">
        <v>504</v>
      </c>
      <c r="D321">
        <v>505</v>
      </c>
      <c r="E321">
        <v>501</v>
      </c>
      <c r="F321">
        <v>255</v>
      </c>
      <c r="G321" t="str">
        <f>exported_results[[#This Row],[a_node,b_node,c_node,asn_vol]]&amp;"_"&amp;exported_results[[#This Row],[b_node]]&amp;"_"&amp;exported_results[[#This Row],[c_node]]</f>
        <v>504_505_501</v>
      </c>
      <c r="H321" t="b">
        <f>exported_results[[#This Row],[a_node,b_node,c_node,asn_vol]]=exported_results[[#This Row],[c_node]]</f>
        <v>0</v>
      </c>
      <c r="J321" s="33">
        <v>504</v>
      </c>
      <c r="K321">
        <v>505</v>
      </c>
      <c r="L321">
        <v>501</v>
      </c>
      <c r="M321">
        <v>255</v>
      </c>
    </row>
    <row r="322" spans="3:13" x14ac:dyDescent="0.25">
      <c r="C322">
        <v>504</v>
      </c>
      <c r="D322">
        <v>505</v>
      </c>
      <c r="E322">
        <v>504</v>
      </c>
      <c r="F322" s="29">
        <v>8.9367942503746695E-20</v>
      </c>
      <c r="G322" t="str">
        <f>exported_results[[#This Row],[a_node,b_node,c_node,asn_vol]]&amp;"_"&amp;exported_results[[#This Row],[b_node]]&amp;"_"&amp;exported_results[[#This Row],[c_node]]</f>
        <v>504_505_504</v>
      </c>
      <c r="H322" t="b">
        <f>exported_results[[#This Row],[a_node,b_node,c_node,asn_vol]]=exported_results[[#This Row],[c_node]]</f>
        <v>1</v>
      </c>
      <c r="J322">
        <v>504</v>
      </c>
      <c r="K322">
        <v>505</v>
      </c>
      <c r="L322">
        <v>504</v>
      </c>
      <c r="M322" s="29">
        <v>8.9367942503746695E-20</v>
      </c>
    </row>
    <row r="323" spans="3:13" x14ac:dyDescent="0.25">
      <c r="C323" s="33">
        <v>504</v>
      </c>
      <c r="D323">
        <v>505</v>
      </c>
      <c r="E323">
        <v>506</v>
      </c>
      <c r="F323">
        <v>940.00000000002296</v>
      </c>
      <c r="G323" t="str">
        <f>exported_results[[#This Row],[a_node,b_node,c_node,asn_vol]]&amp;"_"&amp;exported_results[[#This Row],[b_node]]&amp;"_"&amp;exported_results[[#This Row],[c_node]]</f>
        <v>504_505_506</v>
      </c>
      <c r="H323" t="b">
        <f>exported_results[[#This Row],[a_node,b_node,c_node,asn_vol]]=exported_results[[#This Row],[c_node]]</f>
        <v>0</v>
      </c>
      <c r="J323" s="33">
        <v>504</v>
      </c>
      <c r="K323">
        <v>505</v>
      </c>
      <c r="L323">
        <v>506</v>
      </c>
      <c r="M323">
        <v>940.00000000002296</v>
      </c>
    </row>
    <row r="324" spans="3:13" x14ac:dyDescent="0.25">
      <c r="C324" s="33">
        <v>500</v>
      </c>
      <c r="D324">
        <v>504</v>
      </c>
      <c r="E324">
        <v>509</v>
      </c>
      <c r="F324">
        <v>850</v>
      </c>
      <c r="G324" t="str">
        <f>exported_results[[#This Row],[a_node,b_node,c_node,asn_vol]]&amp;"_"&amp;exported_results[[#This Row],[b_node]]&amp;"_"&amp;exported_results[[#This Row],[c_node]]</f>
        <v>500_504_509</v>
      </c>
      <c r="H324" t="b">
        <f>exported_results[[#This Row],[a_node,b_node,c_node,asn_vol]]=exported_results[[#This Row],[c_node]]</f>
        <v>0</v>
      </c>
      <c r="J324" s="33">
        <v>500</v>
      </c>
      <c r="K324">
        <v>504</v>
      </c>
      <c r="L324">
        <v>509</v>
      </c>
      <c r="M324">
        <v>850</v>
      </c>
    </row>
    <row r="325" spans="3:13" x14ac:dyDescent="0.25">
      <c r="C325">
        <v>500</v>
      </c>
      <c r="D325">
        <v>504</v>
      </c>
      <c r="E325">
        <v>500</v>
      </c>
      <c r="F325">
        <v>9.1285165290657701E-3</v>
      </c>
      <c r="G325" t="str">
        <f>exported_results[[#This Row],[a_node,b_node,c_node,asn_vol]]&amp;"_"&amp;exported_results[[#This Row],[b_node]]&amp;"_"&amp;exported_results[[#This Row],[c_node]]</f>
        <v>500_504_500</v>
      </c>
      <c r="H325" t="b">
        <f>exported_results[[#This Row],[a_node,b_node,c_node,asn_vol]]=exported_results[[#This Row],[c_node]]</f>
        <v>1</v>
      </c>
      <c r="J325">
        <v>500</v>
      </c>
      <c r="K325">
        <v>504</v>
      </c>
      <c r="L325">
        <v>500</v>
      </c>
      <c r="M325">
        <v>9.1285165290657701E-3</v>
      </c>
    </row>
    <row r="326" spans="3:13" x14ac:dyDescent="0.25">
      <c r="C326" s="33">
        <v>500</v>
      </c>
      <c r="D326">
        <v>504</v>
      </c>
      <c r="E326">
        <v>110</v>
      </c>
      <c r="F326">
        <v>425</v>
      </c>
      <c r="G326" t="str">
        <f>exported_results[[#This Row],[a_node,b_node,c_node,asn_vol]]&amp;"_"&amp;exported_results[[#This Row],[b_node]]&amp;"_"&amp;exported_results[[#This Row],[c_node]]</f>
        <v>500_504_110</v>
      </c>
      <c r="H326" t="b">
        <f>exported_results[[#This Row],[a_node,b_node,c_node,asn_vol]]=exported_results[[#This Row],[c_node]]</f>
        <v>0</v>
      </c>
      <c r="J326" s="33">
        <v>500</v>
      </c>
      <c r="K326">
        <v>504</v>
      </c>
      <c r="L326">
        <v>110</v>
      </c>
      <c r="M326">
        <v>425</v>
      </c>
    </row>
    <row r="327" spans="3:13" x14ac:dyDescent="0.25">
      <c r="C327" s="33">
        <v>500</v>
      </c>
      <c r="D327">
        <v>504</v>
      </c>
      <c r="E327">
        <v>505</v>
      </c>
      <c r="F327">
        <v>344.99999999999898</v>
      </c>
      <c r="G327" t="str">
        <f>exported_results[[#This Row],[a_node,b_node,c_node,asn_vol]]&amp;"_"&amp;exported_results[[#This Row],[b_node]]&amp;"_"&amp;exported_results[[#This Row],[c_node]]</f>
        <v>500_504_505</v>
      </c>
      <c r="H327" t="b">
        <f>exported_results[[#This Row],[a_node,b_node,c_node,asn_vol]]=exported_results[[#This Row],[c_node]]</f>
        <v>0</v>
      </c>
      <c r="J327" s="33">
        <v>500</v>
      </c>
      <c r="K327">
        <v>504</v>
      </c>
      <c r="L327">
        <v>505</v>
      </c>
      <c r="M327">
        <v>344.99999999999898</v>
      </c>
    </row>
    <row r="328" spans="3:13" x14ac:dyDescent="0.25">
      <c r="C328">
        <v>326</v>
      </c>
      <c r="D328">
        <v>327</v>
      </c>
      <c r="E328">
        <v>328</v>
      </c>
      <c r="F328">
        <v>9.9999999999999898E-3</v>
      </c>
      <c r="G328" t="str">
        <f>exported_results[[#This Row],[a_node,b_node,c_node,asn_vol]]&amp;"_"&amp;exported_results[[#This Row],[b_node]]&amp;"_"&amp;exported_results[[#This Row],[c_node]]</f>
        <v>326_327_328</v>
      </c>
      <c r="H328" t="b">
        <f>exported_results[[#This Row],[a_node,b_node,c_node,asn_vol]]=exported_results[[#This Row],[c_node]]</f>
        <v>0</v>
      </c>
      <c r="J328">
        <v>326</v>
      </c>
      <c r="K328">
        <v>327</v>
      </c>
      <c r="L328">
        <v>328</v>
      </c>
      <c r="M328">
        <v>9.9999999999999898E-3</v>
      </c>
    </row>
    <row r="329" spans="3:13" x14ac:dyDescent="0.25">
      <c r="C329">
        <v>326</v>
      </c>
      <c r="D329">
        <v>402</v>
      </c>
      <c r="E329">
        <v>403</v>
      </c>
      <c r="F329">
        <v>85</v>
      </c>
      <c r="G329" t="str">
        <f>exported_results[[#This Row],[a_node,b_node,c_node,asn_vol]]&amp;"_"&amp;exported_results[[#This Row],[b_node]]&amp;"_"&amp;exported_results[[#This Row],[c_node]]</f>
        <v>326_402_403</v>
      </c>
      <c r="H329" t="b">
        <f>exported_results[[#This Row],[a_node,b_node,c_node,asn_vol]]=exported_results[[#This Row],[c_node]]</f>
        <v>0</v>
      </c>
      <c r="J329">
        <v>326</v>
      </c>
      <c r="K329">
        <v>402</v>
      </c>
      <c r="L329">
        <v>403</v>
      </c>
      <c r="M329">
        <v>85</v>
      </c>
    </row>
    <row r="330" spans="3:13" x14ac:dyDescent="0.25">
      <c r="C330">
        <v>326</v>
      </c>
      <c r="D330">
        <v>402</v>
      </c>
      <c r="E330">
        <v>326</v>
      </c>
      <c r="F330">
        <v>9.9999472781731307E-3</v>
      </c>
      <c r="G330" t="str">
        <f>exported_results[[#This Row],[a_node,b_node,c_node,asn_vol]]&amp;"_"&amp;exported_results[[#This Row],[b_node]]&amp;"_"&amp;exported_results[[#This Row],[c_node]]</f>
        <v>326_402_326</v>
      </c>
      <c r="H330" t="b">
        <f>exported_results[[#This Row],[a_node,b_node,c_node,asn_vol]]=exported_results[[#This Row],[c_node]]</f>
        <v>1</v>
      </c>
      <c r="J330">
        <v>326</v>
      </c>
      <c r="K330">
        <v>402</v>
      </c>
      <c r="L330">
        <v>326</v>
      </c>
      <c r="M330">
        <v>9.9999472781731307E-3</v>
      </c>
    </row>
    <row r="331" spans="3:13" x14ac:dyDescent="0.25">
      <c r="C331" s="33">
        <v>326</v>
      </c>
      <c r="D331">
        <v>402</v>
      </c>
      <c r="E331">
        <v>515</v>
      </c>
      <c r="F331">
        <v>1548.9510921396</v>
      </c>
      <c r="G331" t="str">
        <f>exported_results[[#This Row],[a_node,b_node,c_node,asn_vol]]&amp;"_"&amp;exported_results[[#This Row],[b_node]]&amp;"_"&amp;exported_results[[#This Row],[c_node]]</f>
        <v>326_402_515</v>
      </c>
      <c r="H331" t="b">
        <f>exported_results[[#This Row],[a_node,b_node,c_node,asn_vol]]=exported_results[[#This Row],[c_node]]</f>
        <v>0</v>
      </c>
      <c r="J331" s="33">
        <v>326</v>
      </c>
      <c r="K331">
        <v>402</v>
      </c>
      <c r="L331">
        <v>515</v>
      </c>
      <c r="M331">
        <v>1548.9510921396</v>
      </c>
    </row>
    <row r="332" spans="3:13" x14ac:dyDescent="0.25">
      <c r="C332">
        <v>326</v>
      </c>
      <c r="D332">
        <v>511</v>
      </c>
      <c r="E332">
        <v>326</v>
      </c>
      <c r="F332" s="29">
        <v>1.2166042330787399E-7</v>
      </c>
      <c r="G332" t="str">
        <f>exported_results[[#This Row],[a_node,b_node,c_node,asn_vol]]&amp;"_"&amp;exported_results[[#This Row],[b_node]]&amp;"_"&amp;exported_results[[#This Row],[c_node]]</f>
        <v>326_511_326</v>
      </c>
      <c r="H332" t="b">
        <f>exported_results[[#This Row],[a_node,b_node,c_node,asn_vol]]=exported_results[[#This Row],[c_node]]</f>
        <v>1</v>
      </c>
      <c r="J332">
        <v>326</v>
      </c>
      <c r="K332">
        <v>511</v>
      </c>
      <c r="L332">
        <v>326</v>
      </c>
      <c r="M332" s="29">
        <v>1.2166042330787399E-7</v>
      </c>
    </row>
    <row r="333" spans="3:13" x14ac:dyDescent="0.25">
      <c r="C333" s="33">
        <v>326</v>
      </c>
      <c r="D333">
        <v>511</v>
      </c>
      <c r="E333">
        <v>506</v>
      </c>
      <c r="F333">
        <v>791.44918024936896</v>
      </c>
      <c r="G333" t="str">
        <f>exported_results[[#This Row],[a_node,b_node,c_node,asn_vol]]&amp;"_"&amp;exported_results[[#This Row],[b_node]]&amp;"_"&amp;exported_results[[#This Row],[c_node]]</f>
        <v>326_511_506</v>
      </c>
      <c r="H333" t="b">
        <f>exported_results[[#This Row],[a_node,b_node,c_node,asn_vol]]=exported_results[[#This Row],[c_node]]</f>
        <v>0</v>
      </c>
      <c r="J333" s="33">
        <v>326</v>
      </c>
      <c r="K333">
        <v>511</v>
      </c>
      <c r="L333">
        <v>506</v>
      </c>
      <c r="M333">
        <v>791.44918024936896</v>
      </c>
    </row>
    <row r="334" spans="3:13" x14ac:dyDescent="0.25">
      <c r="C334" s="33">
        <v>326</v>
      </c>
      <c r="D334">
        <v>511</v>
      </c>
      <c r="E334">
        <v>510</v>
      </c>
      <c r="F334">
        <v>170.19336338929099</v>
      </c>
      <c r="G334" t="str">
        <f>exported_results[[#This Row],[a_node,b_node,c_node,asn_vol]]&amp;"_"&amp;exported_results[[#This Row],[b_node]]&amp;"_"&amp;exported_results[[#This Row],[c_node]]</f>
        <v>326_511_510</v>
      </c>
      <c r="H334" t="b">
        <f>exported_results[[#This Row],[a_node,b_node,c_node,asn_vol]]=exported_results[[#This Row],[c_node]]</f>
        <v>0</v>
      </c>
      <c r="J334" s="33">
        <v>326</v>
      </c>
      <c r="K334">
        <v>511</v>
      </c>
      <c r="L334">
        <v>510</v>
      </c>
      <c r="M334">
        <v>170.19336338929099</v>
      </c>
    </row>
    <row r="335" spans="3:13" x14ac:dyDescent="0.25">
      <c r="C335">
        <v>326</v>
      </c>
      <c r="D335">
        <v>511</v>
      </c>
      <c r="E335">
        <v>512</v>
      </c>
      <c r="F335">
        <v>85.382242345836303</v>
      </c>
      <c r="G335" t="str">
        <f>exported_results[[#This Row],[a_node,b_node,c_node,asn_vol]]&amp;"_"&amp;exported_results[[#This Row],[b_node]]&amp;"_"&amp;exported_results[[#This Row],[c_node]]</f>
        <v>326_511_512</v>
      </c>
      <c r="H335" t="b">
        <f>exported_results[[#This Row],[a_node,b_node,c_node,asn_vol]]=exported_results[[#This Row],[c_node]]</f>
        <v>0</v>
      </c>
      <c r="J335">
        <v>326</v>
      </c>
      <c r="K335">
        <v>511</v>
      </c>
      <c r="L335">
        <v>512</v>
      </c>
      <c r="M335">
        <v>85.382242345836303</v>
      </c>
    </row>
    <row r="336" spans="3:13" x14ac:dyDescent="0.25">
      <c r="C336" s="33">
        <v>506</v>
      </c>
      <c r="D336">
        <v>511</v>
      </c>
      <c r="E336">
        <v>326</v>
      </c>
      <c r="F336">
        <v>1078.9993022251999</v>
      </c>
      <c r="G336" t="str">
        <f>exported_results[[#This Row],[a_node,b_node,c_node,asn_vol]]&amp;"_"&amp;exported_results[[#This Row],[b_node]]&amp;"_"&amp;exported_results[[#This Row],[c_node]]</f>
        <v>506_511_326</v>
      </c>
      <c r="H336" t="b">
        <f>exported_results[[#This Row],[a_node,b_node,c_node,asn_vol]]=exported_results[[#This Row],[c_node]]</f>
        <v>0</v>
      </c>
      <c r="J336" s="33">
        <v>506</v>
      </c>
      <c r="K336">
        <v>511</v>
      </c>
      <c r="L336">
        <v>326</v>
      </c>
      <c r="M336">
        <v>1078.9993022251999</v>
      </c>
    </row>
    <row r="337" spans="3:13" x14ac:dyDescent="0.25">
      <c r="C337">
        <v>506</v>
      </c>
      <c r="D337">
        <v>511</v>
      </c>
      <c r="E337">
        <v>506</v>
      </c>
      <c r="F337">
        <v>9.9999494894159793E-3</v>
      </c>
      <c r="G337" t="str">
        <f>exported_results[[#This Row],[a_node,b_node,c_node,asn_vol]]&amp;"_"&amp;exported_results[[#This Row],[b_node]]&amp;"_"&amp;exported_results[[#This Row],[c_node]]</f>
        <v>506_511_506</v>
      </c>
      <c r="H337" t="b">
        <f>exported_results[[#This Row],[a_node,b_node,c_node,asn_vol]]=exported_results[[#This Row],[c_node]]</f>
        <v>1</v>
      </c>
      <c r="J337">
        <v>506</v>
      </c>
      <c r="K337">
        <v>511</v>
      </c>
      <c r="L337">
        <v>506</v>
      </c>
      <c r="M337">
        <v>9.9999494894159793E-3</v>
      </c>
    </row>
    <row r="338" spans="3:13" x14ac:dyDescent="0.25">
      <c r="C338" s="33">
        <v>506</v>
      </c>
      <c r="D338">
        <v>511</v>
      </c>
      <c r="E338">
        <v>510</v>
      </c>
      <c r="F338">
        <v>114.980877215704</v>
      </c>
      <c r="G338" t="str">
        <f>exported_results[[#This Row],[a_node,b_node,c_node,asn_vol]]&amp;"_"&amp;exported_results[[#This Row],[b_node]]&amp;"_"&amp;exported_results[[#This Row],[c_node]]</f>
        <v>506_511_510</v>
      </c>
      <c r="H338" t="b">
        <f>exported_results[[#This Row],[a_node,b_node,c_node,asn_vol]]=exported_results[[#This Row],[c_node]]</f>
        <v>0</v>
      </c>
      <c r="J338" s="33">
        <v>506</v>
      </c>
      <c r="K338">
        <v>511</v>
      </c>
      <c r="L338">
        <v>510</v>
      </c>
      <c r="M338">
        <v>114.980877215704</v>
      </c>
    </row>
    <row r="339" spans="3:13" x14ac:dyDescent="0.25">
      <c r="C339" s="33">
        <v>506</v>
      </c>
      <c r="D339">
        <v>511</v>
      </c>
      <c r="E339">
        <v>512</v>
      </c>
      <c r="F339">
        <v>214.68257679416499</v>
      </c>
      <c r="G339" t="str">
        <f>exported_results[[#This Row],[a_node,b_node,c_node,asn_vol]]&amp;"_"&amp;exported_results[[#This Row],[b_node]]&amp;"_"&amp;exported_results[[#This Row],[c_node]]</f>
        <v>506_511_512</v>
      </c>
      <c r="H339" t="b">
        <f>exported_results[[#This Row],[a_node,b_node,c_node,asn_vol]]=exported_results[[#This Row],[c_node]]</f>
        <v>0</v>
      </c>
      <c r="J339" s="33">
        <v>506</v>
      </c>
      <c r="K339">
        <v>511</v>
      </c>
      <c r="L339">
        <v>512</v>
      </c>
      <c r="M339">
        <v>214.68257679416499</v>
      </c>
    </row>
    <row r="340" spans="3:13" x14ac:dyDescent="0.25">
      <c r="C340" s="33">
        <v>506</v>
      </c>
      <c r="D340">
        <v>505</v>
      </c>
      <c r="E340">
        <v>510</v>
      </c>
      <c r="F340">
        <v>170</v>
      </c>
      <c r="G340" t="str">
        <f>exported_results[[#This Row],[a_node,b_node,c_node,asn_vol]]&amp;"_"&amp;exported_results[[#This Row],[b_node]]&amp;"_"&amp;exported_results[[#This Row],[c_node]]</f>
        <v>506_505_510</v>
      </c>
      <c r="H340" t="b">
        <f>exported_results[[#This Row],[a_node,b_node,c_node,asn_vol]]=exported_results[[#This Row],[c_node]]</f>
        <v>0</v>
      </c>
      <c r="J340" s="33">
        <v>506</v>
      </c>
      <c r="K340">
        <v>505</v>
      </c>
      <c r="L340">
        <v>510</v>
      </c>
      <c r="M340">
        <v>170</v>
      </c>
    </row>
    <row r="341" spans="3:13" x14ac:dyDescent="0.25">
      <c r="C341">
        <v>506</v>
      </c>
      <c r="D341">
        <v>505</v>
      </c>
      <c r="E341">
        <v>501</v>
      </c>
      <c r="F341">
        <v>57.499931508582101</v>
      </c>
      <c r="G341" t="str">
        <f>exported_results[[#This Row],[a_node,b_node,c_node,asn_vol]]&amp;"_"&amp;exported_results[[#This Row],[b_node]]&amp;"_"&amp;exported_results[[#This Row],[c_node]]</f>
        <v>506_505_501</v>
      </c>
      <c r="H341" t="b">
        <f>exported_results[[#This Row],[a_node,b_node,c_node,asn_vol]]=exported_results[[#This Row],[c_node]]</f>
        <v>0</v>
      </c>
      <c r="J341">
        <v>506</v>
      </c>
      <c r="K341">
        <v>505</v>
      </c>
      <c r="L341">
        <v>501</v>
      </c>
      <c r="M341">
        <v>57.499931508582101</v>
      </c>
    </row>
    <row r="342" spans="3:13" x14ac:dyDescent="0.25">
      <c r="C342" s="33">
        <v>506</v>
      </c>
      <c r="D342">
        <v>505</v>
      </c>
      <c r="E342">
        <v>504</v>
      </c>
      <c r="F342">
        <v>935</v>
      </c>
      <c r="G342" t="str">
        <f>exported_results[[#This Row],[a_node,b_node,c_node,asn_vol]]&amp;"_"&amp;exported_results[[#This Row],[b_node]]&amp;"_"&amp;exported_results[[#This Row],[c_node]]</f>
        <v>506_505_504</v>
      </c>
      <c r="H342" t="b">
        <f>exported_results[[#This Row],[a_node,b_node,c_node,asn_vol]]=exported_results[[#This Row],[c_node]]</f>
        <v>0</v>
      </c>
      <c r="J342" s="33">
        <v>506</v>
      </c>
      <c r="K342">
        <v>505</v>
      </c>
      <c r="L342">
        <v>504</v>
      </c>
      <c r="M342">
        <v>935</v>
      </c>
    </row>
    <row r="343" spans="3:13" x14ac:dyDescent="0.25">
      <c r="C343">
        <v>506</v>
      </c>
      <c r="D343">
        <v>505</v>
      </c>
      <c r="E343">
        <v>506</v>
      </c>
      <c r="F343">
        <v>9.9999999999999898E-3</v>
      </c>
      <c r="G343" t="str">
        <f>exported_results[[#This Row],[a_node,b_node,c_node,asn_vol]]&amp;"_"&amp;exported_results[[#This Row],[b_node]]&amp;"_"&amp;exported_results[[#This Row],[c_node]]</f>
        <v>506_505_506</v>
      </c>
      <c r="H343" t="b">
        <f>exported_results[[#This Row],[a_node,b_node,c_node,asn_vol]]=exported_results[[#This Row],[c_node]]</f>
        <v>1</v>
      </c>
      <c r="J343">
        <v>506</v>
      </c>
      <c r="K343">
        <v>505</v>
      </c>
      <c r="L343">
        <v>506</v>
      </c>
      <c r="M343">
        <v>9.9999999999999898E-3</v>
      </c>
    </row>
    <row r="344" spans="3:13" x14ac:dyDescent="0.25">
      <c r="C344" s="33">
        <v>507</v>
      </c>
      <c r="D344">
        <v>506</v>
      </c>
      <c r="E344">
        <v>511</v>
      </c>
      <c r="F344">
        <v>235.280021815461</v>
      </c>
      <c r="G344" t="str">
        <f>exported_results[[#This Row],[a_node,b_node,c_node,asn_vol]]&amp;"_"&amp;exported_results[[#This Row],[b_node]]&amp;"_"&amp;exported_results[[#This Row],[c_node]]</f>
        <v>507_506_511</v>
      </c>
      <c r="H344" t="b">
        <f>exported_results[[#This Row],[a_node,b_node,c_node,asn_vol]]=exported_results[[#This Row],[c_node]]</f>
        <v>0</v>
      </c>
      <c r="J344" s="33">
        <v>507</v>
      </c>
      <c r="K344">
        <v>506</v>
      </c>
      <c r="L344">
        <v>511</v>
      </c>
      <c r="M344">
        <v>235.280021815461</v>
      </c>
    </row>
    <row r="345" spans="3:13" x14ac:dyDescent="0.25">
      <c r="C345" s="33">
        <v>507</v>
      </c>
      <c r="D345">
        <v>506</v>
      </c>
      <c r="E345">
        <v>502</v>
      </c>
      <c r="F345">
        <v>249.90018832236601</v>
      </c>
      <c r="G345" t="str">
        <f>exported_results[[#This Row],[a_node,b_node,c_node,asn_vol]]&amp;"_"&amp;exported_results[[#This Row],[b_node]]&amp;"_"&amp;exported_results[[#This Row],[c_node]]</f>
        <v>507_506_502</v>
      </c>
      <c r="H345" t="b">
        <f>exported_results[[#This Row],[a_node,b_node,c_node,asn_vol]]=exported_results[[#This Row],[c_node]]</f>
        <v>0</v>
      </c>
      <c r="J345" s="33">
        <v>507</v>
      </c>
      <c r="K345">
        <v>506</v>
      </c>
      <c r="L345">
        <v>502</v>
      </c>
      <c r="M345">
        <v>249.90018832236601</v>
      </c>
    </row>
    <row r="346" spans="3:13" x14ac:dyDescent="0.25">
      <c r="C346" s="33">
        <v>507</v>
      </c>
      <c r="D346">
        <v>506</v>
      </c>
      <c r="E346">
        <v>505</v>
      </c>
      <c r="F346">
        <v>790.22192413090397</v>
      </c>
      <c r="G346" t="str">
        <f>exported_results[[#This Row],[a_node,b_node,c_node,asn_vol]]&amp;"_"&amp;exported_results[[#This Row],[b_node]]&amp;"_"&amp;exported_results[[#This Row],[c_node]]</f>
        <v>507_506_505</v>
      </c>
      <c r="H346" t="b">
        <f>exported_results[[#This Row],[a_node,b_node,c_node,asn_vol]]=exported_results[[#This Row],[c_node]]</f>
        <v>0</v>
      </c>
      <c r="J346" s="33">
        <v>507</v>
      </c>
      <c r="K346">
        <v>506</v>
      </c>
      <c r="L346">
        <v>505</v>
      </c>
      <c r="M346">
        <v>790.22192413090397</v>
      </c>
    </row>
    <row r="347" spans="3:13" x14ac:dyDescent="0.25">
      <c r="C347">
        <v>507</v>
      </c>
      <c r="D347">
        <v>506</v>
      </c>
      <c r="E347">
        <v>507</v>
      </c>
      <c r="F347" s="29">
        <v>4.2262945577723197E-6</v>
      </c>
      <c r="G347" t="str">
        <f>exported_results[[#This Row],[a_node,b_node,c_node,asn_vol]]&amp;"_"&amp;exported_results[[#This Row],[b_node]]&amp;"_"&amp;exported_results[[#This Row],[c_node]]</f>
        <v>507_506_507</v>
      </c>
      <c r="H347" t="b">
        <f>exported_results[[#This Row],[a_node,b_node,c_node,asn_vol]]=exported_results[[#This Row],[c_node]]</f>
        <v>1</v>
      </c>
      <c r="J347">
        <v>507</v>
      </c>
      <c r="K347">
        <v>506</v>
      </c>
      <c r="L347">
        <v>507</v>
      </c>
      <c r="M347" s="29">
        <v>4.2262945577723197E-6</v>
      </c>
    </row>
    <row r="348" spans="3:13" x14ac:dyDescent="0.25">
      <c r="C348">
        <v>325</v>
      </c>
      <c r="D348">
        <v>326</v>
      </c>
      <c r="E348">
        <v>327</v>
      </c>
      <c r="F348" s="29">
        <v>2.9749226103158998E-22</v>
      </c>
      <c r="G348" t="str">
        <f>exported_results[[#This Row],[a_node,b_node,c_node,asn_vol]]&amp;"_"&amp;exported_results[[#This Row],[b_node]]&amp;"_"&amp;exported_results[[#This Row],[c_node]]</f>
        <v>325_326_327</v>
      </c>
      <c r="H348" t="b">
        <f>exported_results[[#This Row],[a_node,b_node,c_node,asn_vol]]=exported_results[[#This Row],[c_node]]</f>
        <v>0</v>
      </c>
      <c r="J348">
        <v>325</v>
      </c>
      <c r="K348">
        <v>326</v>
      </c>
      <c r="L348">
        <v>327</v>
      </c>
      <c r="M348" s="29">
        <v>2.9749226103158998E-22</v>
      </c>
    </row>
    <row r="349" spans="3:13" x14ac:dyDescent="0.25">
      <c r="C349" s="33">
        <v>325</v>
      </c>
      <c r="D349">
        <v>326</v>
      </c>
      <c r="E349">
        <v>402</v>
      </c>
      <c r="F349">
        <v>425</v>
      </c>
      <c r="G349" t="str">
        <f>exported_results[[#This Row],[a_node,b_node,c_node,asn_vol]]&amp;"_"&amp;exported_results[[#This Row],[b_node]]&amp;"_"&amp;exported_results[[#This Row],[c_node]]</f>
        <v>325_326_402</v>
      </c>
      <c r="H349" t="b">
        <f>exported_results[[#This Row],[a_node,b_node,c_node,asn_vol]]=exported_results[[#This Row],[c_node]]</f>
        <v>0</v>
      </c>
      <c r="J349" s="33">
        <v>325</v>
      </c>
      <c r="K349">
        <v>326</v>
      </c>
      <c r="L349">
        <v>402</v>
      </c>
      <c r="M349">
        <v>425</v>
      </c>
    </row>
    <row r="350" spans="3:13" x14ac:dyDescent="0.25">
      <c r="C350" s="33">
        <v>325</v>
      </c>
      <c r="D350">
        <v>326</v>
      </c>
      <c r="E350">
        <v>511</v>
      </c>
      <c r="F350">
        <v>127.5</v>
      </c>
      <c r="G350" t="str">
        <f>exported_results[[#This Row],[a_node,b_node,c_node,asn_vol]]&amp;"_"&amp;exported_results[[#This Row],[b_node]]&amp;"_"&amp;exported_results[[#This Row],[c_node]]</f>
        <v>325_326_511</v>
      </c>
      <c r="H350" t="b">
        <f>exported_results[[#This Row],[a_node,b_node,c_node,asn_vol]]=exported_results[[#This Row],[c_node]]</f>
        <v>0</v>
      </c>
      <c r="J350" s="33">
        <v>325</v>
      </c>
      <c r="K350">
        <v>326</v>
      </c>
      <c r="L350">
        <v>511</v>
      </c>
      <c r="M350">
        <v>127.5</v>
      </c>
    </row>
    <row r="351" spans="3:13" x14ac:dyDescent="0.25">
      <c r="C351">
        <v>325</v>
      </c>
      <c r="D351">
        <v>327</v>
      </c>
      <c r="E351">
        <v>328</v>
      </c>
      <c r="F351">
        <v>9.9999999999999898E-3</v>
      </c>
      <c r="G351" t="str">
        <f>exported_results[[#This Row],[a_node,b_node,c_node,asn_vol]]&amp;"_"&amp;exported_results[[#This Row],[b_node]]&amp;"_"&amp;exported_results[[#This Row],[c_node]]</f>
        <v>325_327_328</v>
      </c>
      <c r="H351" t="b">
        <f>exported_results[[#This Row],[a_node,b_node,c_node,asn_vol]]=exported_results[[#This Row],[c_node]]</f>
        <v>0</v>
      </c>
      <c r="J351">
        <v>325</v>
      </c>
      <c r="K351">
        <v>327</v>
      </c>
      <c r="L351">
        <v>328</v>
      </c>
      <c r="M351">
        <v>9.9999999999999898E-3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5:BO56"/>
  <sheetViews>
    <sheetView showGridLines="0" tabSelected="1" topLeftCell="C22" zoomScale="70" zoomScaleNormal="70" workbookViewId="0">
      <selection activeCell="AF36" sqref="AF36"/>
    </sheetView>
  </sheetViews>
  <sheetFormatPr defaultColWidth="5.7109375" defaultRowHeight="15" x14ac:dyDescent="0.25"/>
  <cols>
    <col min="14" max="14" width="7.140625" customWidth="1"/>
    <col min="25" max="25" width="10" bestFit="1" customWidth="1"/>
    <col min="26" max="26" width="7.140625" customWidth="1"/>
    <col min="30" max="30" width="7.140625" bestFit="1" customWidth="1"/>
    <col min="31" max="31" width="6.42578125" customWidth="1"/>
    <col min="33" max="33" width="7.140625" customWidth="1"/>
    <col min="34" max="34" width="7.140625" bestFit="1" customWidth="1"/>
    <col min="38" max="38" width="7.28515625" customWidth="1"/>
    <col min="47" max="47" width="6.42578125" customWidth="1"/>
    <col min="52" max="52" width="6.5703125" customWidth="1"/>
    <col min="59" max="59" width="6.85546875" customWidth="1"/>
    <col min="61" max="61" width="6.5703125" customWidth="1"/>
    <col min="66" max="66" width="7.7109375" customWidth="1"/>
  </cols>
  <sheetData>
    <row r="5" spans="27:66" x14ac:dyDescent="0.25">
      <c r="AF5" s="14">
        <v>513</v>
      </c>
      <c r="AT5" s="14">
        <v>514</v>
      </c>
      <c r="BH5" s="14">
        <v>515</v>
      </c>
    </row>
    <row r="6" spans="27:66" x14ac:dyDescent="0.25">
      <c r="AA6" s="2"/>
      <c r="AB6" s="3"/>
      <c r="AC6" s="3"/>
      <c r="AD6" s="3"/>
      <c r="AE6" s="3">
        <f>AD7-AD5</f>
        <v>1404.99999999999</v>
      </c>
      <c r="AF6" s="4"/>
      <c r="AG6" s="3">
        <f>AH5-AH7</f>
        <v>-1102.49000004243</v>
      </c>
      <c r="AH6" s="3"/>
      <c r="AI6" s="3"/>
      <c r="AJ6" s="3"/>
      <c r="AK6" s="3"/>
      <c r="AL6" s="5"/>
      <c r="AO6" s="2"/>
      <c r="AP6" s="3"/>
      <c r="AQ6" s="3"/>
      <c r="AR6" s="3"/>
      <c r="AS6" s="3">
        <f>AR7-AR5</f>
        <v>829.99999999999898</v>
      </c>
      <c r="AT6" s="4"/>
      <c r="AU6" s="3">
        <f>AV5-AV7</f>
        <v>-617.49999999999898</v>
      </c>
      <c r="AV6" s="3"/>
      <c r="AW6" s="3"/>
      <c r="AX6" s="3"/>
      <c r="AY6" s="3"/>
      <c r="AZ6" s="5"/>
      <c r="BC6" s="2"/>
      <c r="BD6" s="3"/>
      <c r="BE6" s="3"/>
      <c r="BF6" s="3"/>
      <c r="BG6" s="3">
        <f>BF7-BF5</f>
        <v>1174.504786328122</v>
      </c>
      <c r="BH6" s="4"/>
      <c r="BI6" s="3">
        <f>BJ5-BJ7</f>
        <v>-1718.9510921396</v>
      </c>
      <c r="BJ6" s="3"/>
      <c r="BK6" s="3"/>
      <c r="BL6" s="3"/>
      <c r="BM6" s="3"/>
      <c r="BN6" s="5"/>
    </row>
    <row r="7" spans="27:66" x14ac:dyDescent="0.25">
      <c r="AA7" s="6"/>
      <c r="AB7" s="7"/>
      <c r="AC7" s="7"/>
      <c r="AD7" s="7">
        <f>SUM(AD10:AE10)</f>
        <v>1404.99999999999</v>
      </c>
      <c r="AE7" s="12" t="s">
        <v>10</v>
      </c>
      <c r="AF7" s="8"/>
      <c r="AG7" s="12" t="s">
        <v>12</v>
      </c>
      <c r="AH7" s="7">
        <f>SUM(AD13,AH14,AH10)</f>
        <v>1102.49000004243</v>
      </c>
      <c r="AI7" s="7"/>
      <c r="AJ7" s="7"/>
      <c r="AK7" s="7"/>
      <c r="AL7" s="10"/>
      <c r="AO7" s="6"/>
      <c r="AP7" s="7"/>
      <c r="AQ7" s="7"/>
      <c r="AR7" s="7">
        <f>SUM(AR10:AS10)</f>
        <v>829.99999999999898</v>
      </c>
      <c r="AS7" s="12" t="s">
        <v>10</v>
      </c>
      <c r="AT7" s="8"/>
      <c r="AU7" s="12" t="s">
        <v>12</v>
      </c>
      <c r="AV7" s="7">
        <f>SUM(AR13,AV14,AV10)</f>
        <v>617.49999999999898</v>
      </c>
      <c r="AW7" s="7"/>
      <c r="AX7" s="7"/>
      <c r="AY7" s="7"/>
      <c r="AZ7" s="10"/>
      <c r="BC7" s="6"/>
      <c r="BD7" s="7"/>
      <c r="BE7" s="7"/>
      <c r="BF7" s="7">
        <f>SUM(BF10:BG10)</f>
        <v>1174.504786328122</v>
      </c>
      <c r="BG7" s="12" t="s">
        <v>10</v>
      </c>
      <c r="BH7" s="8"/>
      <c r="BI7" s="12" t="s">
        <v>12</v>
      </c>
      <c r="BJ7" s="7">
        <f>SUM(BF13,BJ14,BJ10)</f>
        <v>1718.9510921396</v>
      </c>
      <c r="BK7" s="7"/>
      <c r="BL7" s="7"/>
      <c r="BM7" s="7"/>
      <c r="BN7" s="10"/>
    </row>
    <row r="8" spans="27:66" x14ac:dyDescent="0.25">
      <c r="AA8" s="6"/>
      <c r="AB8" s="7"/>
      <c r="AC8" s="7"/>
      <c r="AD8" s="7"/>
      <c r="AE8" s="7"/>
      <c r="AF8" s="8"/>
      <c r="AG8" s="7"/>
      <c r="AH8" s="7"/>
      <c r="AI8" s="7"/>
      <c r="AJ8" s="7"/>
      <c r="AK8" s="7"/>
      <c r="AL8" s="10"/>
      <c r="AO8" s="6"/>
      <c r="AP8" s="7"/>
      <c r="AQ8" s="7"/>
      <c r="AR8" s="7"/>
      <c r="AS8" s="7"/>
      <c r="AT8" s="8"/>
      <c r="AU8" s="7"/>
      <c r="AV8" s="7"/>
      <c r="AW8" s="7"/>
      <c r="AX8" s="7"/>
      <c r="AY8" s="7"/>
      <c r="AZ8" s="10"/>
      <c r="BC8" s="6"/>
      <c r="BD8" s="7"/>
      <c r="BE8" s="7"/>
      <c r="BF8" s="7"/>
      <c r="BG8" s="7"/>
      <c r="BH8" s="8"/>
      <c r="BI8" s="7"/>
      <c r="BJ8" s="7"/>
      <c r="BK8" s="7"/>
      <c r="BL8" s="7"/>
      <c r="BM8" s="7"/>
      <c r="BN8" s="10"/>
    </row>
    <row r="9" spans="27:66" x14ac:dyDescent="0.25">
      <c r="AA9" s="6"/>
      <c r="AB9" s="7"/>
      <c r="AC9" s="7"/>
      <c r="AD9" s="7"/>
      <c r="AE9" s="7"/>
      <c r="AF9" s="8"/>
      <c r="AI9" s="7"/>
      <c r="AJ9" s="7"/>
      <c r="AK9" s="7"/>
      <c r="AL9" s="10"/>
      <c r="AO9" s="6"/>
      <c r="AP9" s="7"/>
      <c r="AQ9" s="7"/>
      <c r="AR9" s="7"/>
      <c r="AS9" s="7"/>
      <c r="AT9" s="8"/>
      <c r="AW9" s="7"/>
      <c r="AX9" s="7"/>
      <c r="AY9" s="7"/>
      <c r="AZ9" s="10"/>
      <c r="BC9" s="6"/>
      <c r="BD9" s="7"/>
      <c r="BE9" s="7"/>
      <c r="BF9" s="7"/>
      <c r="BG9" s="7"/>
      <c r="BH9" s="8"/>
      <c r="BK9" s="7"/>
      <c r="BL9" s="7"/>
      <c r="BM9" s="7"/>
      <c r="BN9" s="10"/>
    </row>
    <row r="10" spans="27:66" x14ac:dyDescent="0.25">
      <c r="AA10" s="6">
        <f>SUM(AG14,AD10)</f>
        <v>637.5</v>
      </c>
      <c r="AB10" s="7"/>
      <c r="AD10" s="34">
        <f>INDEX(exported_results[asn_vol],MATCH(turn_ids!AD10,exported_results[key],0))</f>
        <v>255</v>
      </c>
      <c r="AE10" s="34">
        <f>INDEX(exported_results[asn_vol],MATCH(turn_ids!AE10,exported_results[key],0))</f>
        <v>1149.99999999999</v>
      </c>
      <c r="AF10" s="8"/>
      <c r="AG10" s="9" t="s">
        <v>14</v>
      </c>
      <c r="AH10" s="34">
        <f>INDEX(exported_results[asn_vol],MATCH(turn_ids!AH10,exported_results[key],0))</f>
        <v>170</v>
      </c>
      <c r="AI10" s="7"/>
      <c r="AJ10" s="7"/>
      <c r="AK10" s="7">
        <f>SUM(AH10:AH11)</f>
        <v>467.5</v>
      </c>
      <c r="AL10" s="10"/>
      <c r="AO10" s="6">
        <f>SUM(AU14,AR10)</f>
        <v>552.5</v>
      </c>
      <c r="AP10" s="7"/>
      <c r="AR10" s="34">
        <f>INDEX(exported_results[asn_vol],MATCH(turn_ids!AR10,exported_results[key],0))</f>
        <v>255</v>
      </c>
      <c r="AS10" s="34">
        <f>INDEX(exported_results[asn_vol],MATCH(turn_ids!AS10,exported_results[key],0))</f>
        <v>574.99999999999898</v>
      </c>
      <c r="AT10" s="8"/>
      <c r="AU10" s="9" t="s">
        <v>14</v>
      </c>
      <c r="AV10" s="34">
        <f>INDEX(exported_results[asn_vol],MATCH(turn_ids!AV10,exported_results[key],0))</f>
        <v>42.5</v>
      </c>
      <c r="AW10" s="7"/>
      <c r="AX10" s="7"/>
      <c r="AY10" s="7">
        <f>SUM(AV10:AV11)</f>
        <v>212.5</v>
      </c>
      <c r="AZ10" s="10"/>
      <c r="BC10" s="6">
        <f>SUM(BI14,BF10)</f>
        <v>595</v>
      </c>
      <c r="BD10" s="7"/>
      <c r="BF10" s="34">
        <f>INDEX(exported_results[asn_vol],MATCH(turn_ids!BF10,exported_results[key],0))</f>
        <v>510</v>
      </c>
      <c r="BG10" s="34">
        <f>INDEX(exported_results[asn_vol],MATCH(turn_ids!BG10,exported_results[key],0))</f>
        <v>664.50478632812201</v>
      </c>
      <c r="BH10" s="8"/>
      <c r="BI10" s="9" t="s">
        <v>14</v>
      </c>
      <c r="BJ10" s="34">
        <f>INDEX(exported_results[asn_vol],MATCH(turn_ids!BJ10,exported_results[key],0))</f>
        <v>170</v>
      </c>
      <c r="BK10" s="7"/>
      <c r="BL10" s="7"/>
      <c r="BM10" s="7">
        <f>SUM(BJ10:BJ11)</f>
        <v>595</v>
      </c>
      <c r="BN10" s="10"/>
    </row>
    <row r="11" spans="27:66" x14ac:dyDescent="0.25">
      <c r="AA11" s="21" t="s">
        <v>15</v>
      </c>
      <c r="AB11" s="27">
        <v>660</v>
      </c>
      <c r="AD11" s="12">
        <v>8</v>
      </c>
      <c r="AE11" s="12" t="s">
        <v>10</v>
      </c>
      <c r="AF11" s="8"/>
      <c r="AG11" s="9" t="s">
        <v>16</v>
      </c>
      <c r="AH11" s="34">
        <f>INDEX(exported_results[asn_vol],MATCH(turn_ids!AH11,exported_results[key],0))</f>
        <v>297.5</v>
      </c>
      <c r="AI11" s="7"/>
      <c r="AJ11" s="27">
        <v>440</v>
      </c>
      <c r="AK11" s="20" t="s">
        <v>15</v>
      </c>
      <c r="AL11" s="10">
        <f>AK10-AM10</f>
        <v>467.5</v>
      </c>
      <c r="AO11" s="21" t="s">
        <v>15</v>
      </c>
      <c r="AP11" s="27">
        <v>690</v>
      </c>
      <c r="AR11" s="12">
        <v>8</v>
      </c>
      <c r="AS11" s="12" t="s">
        <v>10</v>
      </c>
      <c r="AT11" s="8"/>
      <c r="AU11" s="9" t="s">
        <v>16</v>
      </c>
      <c r="AV11" s="34">
        <f>INDEX(exported_results[asn_vol],MATCH(turn_ids!AV11,exported_results[key],0))</f>
        <v>170</v>
      </c>
      <c r="AW11" s="7"/>
      <c r="AX11" s="27">
        <v>120</v>
      </c>
      <c r="AY11" s="20" t="s">
        <v>15</v>
      </c>
      <c r="AZ11" s="10">
        <f>AY10-BA10</f>
        <v>212.5</v>
      </c>
      <c r="BC11" s="21" t="s">
        <v>15</v>
      </c>
      <c r="BD11" s="27">
        <v>810</v>
      </c>
      <c r="BF11" s="12">
        <v>8</v>
      </c>
      <c r="BG11" s="12" t="s">
        <v>10</v>
      </c>
      <c r="BH11" s="8"/>
      <c r="BI11" s="9" t="s">
        <v>16</v>
      </c>
      <c r="BJ11" s="34">
        <f>INDEX(exported_results[asn_vol],MATCH(turn_ids!BJ11,exported_results[key],0))</f>
        <v>425</v>
      </c>
      <c r="BK11" s="7"/>
      <c r="BL11" s="27">
        <v>900</v>
      </c>
      <c r="BM11" s="20" t="s">
        <v>15</v>
      </c>
      <c r="BN11" s="10">
        <f>BM10-BO10</f>
        <v>595</v>
      </c>
    </row>
    <row r="12" spans="27:66" x14ac:dyDescent="0.25">
      <c r="AA12" s="14">
        <v>409</v>
      </c>
      <c r="AB12" s="23" t="s">
        <v>18</v>
      </c>
      <c r="AC12" s="23" t="s">
        <v>18</v>
      </c>
      <c r="AD12" s="23" t="s">
        <v>18</v>
      </c>
      <c r="AE12" s="23" t="s">
        <v>18</v>
      </c>
      <c r="AF12" s="14">
        <v>408</v>
      </c>
      <c r="AG12" s="23" t="s">
        <v>18</v>
      </c>
      <c r="AH12" s="23" t="s">
        <v>18</v>
      </c>
      <c r="AI12" s="23" t="s">
        <v>18</v>
      </c>
      <c r="AJ12" s="23" t="s">
        <v>18</v>
      </c>
      <c r="AK12" s="23" t="s">
        <v>18</v>
      </c>
      <c r="AL12" s="14">
        <v>407</v>
      </c>
      <c r="AO12" s="14">
        <v>406</v>
      </c>
      <c r="AP12" s="23" t="s">
        <v>18</v>
      </c>
      <c r="AQ12" s="23" t="s">
        <v>18</v>
      </c>
      <c r="AR12" s="23" t="s">
        <v>18</v>
      </c>
      <c r="AS12" s="23" t="s">
        <v>18</v>
      </c>
      <c r="AT12" s="14">
        <v>405</v>
      </c>
      <c r="AU12" s="23" t="s">
        <v>18</v>
      </c>
      <c r="AV12" s="23" t="s">
        <v>18</v>
      </c>
      <c r="AW12" s="23" t="s">
        <v>18</v>
      </c>
      <c r="AX12" s="23" t="s">
        <v>18</v>
      </c>
      <c r="AY12" s="23" t="s">
        <v>18</v>
      </c>
      <c r="AZ12" s="14">
        <v>404</v>
      </c>
      <c r="BC12" s="14">
        <v>403</v>
      </c>
      <c r="BD12" s="23" t="s">
        <v>18</v>
      </c>
      <c r="BE12" s="23" t="s">
        <v>18</v>
      </c>
      <c r="BF12" s="23" t="s">
        <v>18</v>
      </c>
      <c r="BG12" s="23" t="s">
        <v>18</v>
      </c>
      <c r="BH12" s="14">
        <v>402</v>
      </c>
      <c r="BI12" s="23" t="s">
        <v>18</v>
      </c>
      <c r="BJ12" s="23" t="s">
        <v>18</v>
      </c>
      <c r="BK12" s="23" t="s">
        <v>18</v>
      </c>
      <c r="BL12" s="23" t="s">
        <v>18</v>
      </c>
      <c r="BM12" s="23" t="s">
        <v>18</v>
      </c>
      <c r="BN12" s="14">
        <v>401</v>
      </c>
    </row>
    <row r="13" spans="27:66" x14ac:dyDescent="0.25">
      <c r="AA13" s="21"/>
      <c r="AB13" s="8"/>
      <c r="AC13" s="7"/>
      <c r="AD13" s="7"/>
      <c r="AE13" s="9"/>
      <c r="AF13" s="8"/>
      <c r="AG13" s="12" t="s">
        <v>11</v>
      </c>
      <c r="AH13" s="12" t="s">
        <v>12</v>
      </c>
      <c r="AI13" s="12"/>
      <c r="AJ13" s="7"/>
      <c r="AK13" s="24"/>
      <c r="AL13" s="10"/>
      <c r="AO13" s="21"/>
      <c r="AP13" s="8"/>
      <c r="AQ13" s="7"/>
      <c r="AR13" s="7"/>
      <c r="AS13" s="9"/>
      <c r="AT13" s="8"/>
      <c r="AU13" s="12" t="s">
        <v>11</v>
      </c>
      <c r="AV13" s="12" t="s">
        <v>12</v>
      </c>
      <c r="AW13" s="12"/>
      <c r="AX13" s="7"/>
      <c r="AY13" s="24"/>
      <c r="AZ13" s="10"/>
      <c r="BC13" s="21"/>
      <c r="BD13" s="8"/>
      <c r="BE13" s="7"/>
      <c r="BF13" s="7"/>
      <c r="BG13" s="9"/>
      <c r="BH13" s="8"/>
      <c r="BI13" s="12" t="s">
        <v>11</v>
      </c>
      <c r="BJ13" s="12" t="s">
        <v>12</v>
      </c>
      <c r="BK13" s="12"/>
      <c r="BL13" s="7"/>
      <c r="BM13" s="24"/>
      <c r="BN13" s="10"/>
    </row>
    <row r="14" spans="27:66" x14ac:dyDescent="0.25">
      <c r="AA14" s="6"/>
      <c r="AB14" s="8"/>
      <c r="AC14" s="7"/>
      <c r="AD14" s="7"/>
      <c r="AE14" s="9"/>
      <c r="AF14" s="8"/>
      <c r="AG14" s="34">
        <f>INDEX(exported_results[asn_vol],MATCH(turn_ids!AG14,exported_results[key],0))</f>
        <v>382.5</v>
      </c>
      <c r="AH14" s="34">
        <f>INDEX(exported_results[asn_vol],MATCH(turn_ids!AH14,exported_results[key],0))</f>
        <v>932.49000004242998</v>
      </c>
      <c r="AI14" s="11"/>
      <c r="AJ14" s="7"/>
      <c r="AK14" s="8"/>
      <c r="AL14" s="10"/>
      <c r="AO14" s="6"/>
      <c r="AP14" s="8"/>
      <c r="AQ14" s="7"/>
      <c r="AR14" s="7"/>
      <c r="AS14" s="9"/>
      <c r="AT14" s="8"/>
      <c r="AU14" s="34">
        <f>INDEX(exported_results[asn_vol],MATCH(turn_ids!AU14,exported_results[key],0))</f>
        <v>297.5</v>
      </c>
      <c r="AV14" s="34">
        <f>INDEX(exported_results[asn_vol],MATCH(turn_ids!AV14,exported_results[key],0))</f>
        <v>574.99999999999898</v>
      </c>
      <c r="AW14" s="11"/>
      <c r="AX14" s="7"/>
      <c r="AY14" s="8"/>
      <c r="AZ14" s="10"/>
      <c r="BC14" s="6"/>
      <c r="BD14" s="8"/>
      <c r="BE14" s="7"/>
      <c r="BF14" s="7"/>
      <c r="BG14" s="9"/>
      <c r="BH14" s="8"/>
      <c r="BI14" s="34">
        <f>INDEX(exported_results[asn_vol],MATCH(turn_ids!BI14,exported_results[key],0))</f>
        <v>85</v>
      </c>
      <c r="BJ14" s="34">
        <f>INDEX(exported_results[asn_vol],MATCH(turn_ids!BJ14,exported_results[key],0))</f>
        <v>1548.9510921396</v>
      </c>
      <c r="BK14" s="11"/>
      <c r="BL14" s="7"/>
      <c r="BM14" s="8"/>
      <c r="BN14" s="10"/>
    </row>
    <row r="15" spans="27:66" x14ac:dyDescent="0.25">
      <c r="AA15" s="6"/>
      <c r="AB15" s="8"/>
      <c r="AC15" s="7"/>
      <c r="AD15" s="7"/>
      <c r="AE15" s="9"/>
      <c r="AF15" s="8"/>
      <c r="AG15" s="7"/>
      <c r="AH15" s="7"/>
      <c r="AI15" s="7"/>
      <c r="AJ15" s="7"/>
      <c r="AK15" s="8"/>
      <c r="AL15" s="10"/>
      <c r="AO15" s="6"/>
      <c r="AP15" s="8"/>
      <c r="AQ15" s="7"/>
      <c r="AR15" s="7"/>
      <c r="AS15" s="9"/>
      <c r="AT15" s="8"/>
      <c r="AU15" s="7"/>
      <c r="AV15" s="7"/>
      <c r="AW15" s="7"/>
      <c r="AX15" s="7"/>
      <c r="AY15" s="8"/>
      <c r="AZ15" s="10"/>
      <c r="BC15" s="6"/>
      <c r="BD15" s="8"/>
      <c r="BE15" s="7"/>
      <c r="BF15" s="7"/>
      <c r="BG15" s="9"/>
      <c r="BH15" s="8"/>
      <c r="BI15" s="7"/>
      <c r="BJ15" s="7"/>
      <c r="BK15" s="7"/>
      <c r="BL15" s="7"/>
      <c r="BM15" s="8"/>
      <c r="BN15" s="10"/>
    </row>
    <row r="16" spans="27:66" x14ac:dyDescent="0.25">
      <c r="AA16" s="13"/>
      <c r="AB16" s="8"/>
      <c r="AC16" s="8"/>
      <c r="AD16" s="7"/>
      <c r="AE16" s="7"/>
      <c r="AF16" s="8"/>
      <c r="AG16" s="7"/>
      <c r="AH16" s="7"/>
      <c r="AI16" s="8"/>
      <c r="AJ16" s="8"/>
      <c r="AK16" s="8"/>
      <c r="AL16" s="15"/>
      <c r="AM16" s="1"/>
      <c r="AN16" s="1"/>
      <c r="AO16" s="13"/>
      <c r="AP16" s="8"/>
      <c r="AQ16" s="8"/>
      <c r="AR16" s="7"/>
      <c r="AS16" s="7"/>
      <c r="AT16" s="8"/>
      <c r="AU16" s="7"/>
      <c r="AV16" s="7"/>
      <c r="AW16" s="8"/>
      <c r="AX16" s="8"/>
      <c r="AY16" s="8"/>
      <c r="AZ16" s="15"/>
      <c r="BA16" s="1"/>
      <c r="BB16" s="1"/>
      <c r="BC16" s="13"/>
      <c r="BD16" s="8"/>
      <c r="BE16" s="8"/>
      <c r="BF16" s="7"/>
      <c r="BG16" s="7"/>
      <c r="BH16" s="8"/>
      <c r="BI16" s="7"/>
      <c r="BJ16" s="7"/>
      <c r="BK16" s="8"/>
      <c r="BL16" s="8"/>
      <c r="BM16" s="8"/>
      <c r="BN16" s="15"/>
    </row>
    <row r="17" spans="3:66" x14ac:dyDescent="0.25">
      <c r="AA17" s="16"/>
      <c r="AB17" s="17"/>
      <c r="AC17" s="17"/>
      <c r="AD17" s="17">
        <f>SUM(AH11,AE10,AD15)</f>
        <v>1447.49999999999</v>
      </c>
      <c r="AE17" s="22" t="s">
        <v>10</v>
      </c>
      <c r="AF17" s="18"/>
      <c r="AG17" s="22" t="s">
        <v>12</v>
      </c>
      <c r="AH17" s="17">
        <f>SUM(AG14:AI14)</f>
        <v>1314.99000004243</v>
      </c>
      <c r="AI17" s="17"/>
      <c r="AJ17" s="17"/>
      <c r="AK17" s="17"/>
      <c r="AL17" s="19"/>
      <c r="AO17" s="16"/>
      <c r="AP17" s="17"/>
      <c r="AQ17" s="17"/>
      <c r="AR17" s="17">
        <f>SUM(AV11,AS10,AR15)</f>
        <v>744.99999999999898</v>
      </c>
      <c r="AS17" s="22" t="s">
        <v>10</v>
      </c>
      <c r="AT17" s="18"/>
      <c r="AU17" s="22" t="s">
        <v>12</v>
      </c>
      <c r="AV17" s="17">
        <f>SUM(AU14:AW14)</f>
        <v>872.49999999999898</v>
      </c>
      <c r="AW17" s="17"/>
      <c r="AX17" s="17"/>
      <c r="AY17" s="17"/>
      <c r="AZ17" s="19"/>
      <c r="BC17" s="16"/>
      <c r="BD17" s="17"/>
      <c r="BE17" s="17"/>
      <c r="BF17" s="17">
        <f>SUM(BJ11,BG10,BF15)</f>
        <v>1089.504786328122</v>
      </c>
      <c r="BG17" s="22" t="s">
        <v>10</v>
      </c>
      <c r="BH17" s="18"/>
      <c r="BI17" s="22" t="s">
        <v>12</v>
      </c>
      <c r="BJ17" s="17">
        <f>SUM(BI14:BK14)</f>
        <v>1633.9510921396</v>
      </c>
      <c r="BK17" s="17"/>
      <c r="BL17" s="17"/>
      <c r="BM17" s="17"/>
      <c r="BN17" s="19"/>
    </row>
    <row r="18" spans="3:66" x14ac:dyDescent="0.25">
      <c r="AA18" s="2"/>
      <c r="AB18" s="3"/>
      <c r="AC18" s="3"/>
      <c r="AD18" s="3"/>
      <c r="AE18" s="30">
        <f>AD19-AD17</f>
        <v>20.000000000030013</v>
      </c>
      <c r="AF18" s="4"/>
      <c r="AG18" s="30">
        <f>AH17-AH19</f>
        <v>-9.9999575691072096E-3</v>
      </c>
      <c r="AH18" s="3"/>
      <c r="AI18" s="3"/>
      <c r="AJ18" s="3"/>
      <c r="AK18" s="3"/>
      <c r="AL18" s="5"/>
      <c r="AO18" s="2"/>
      <c r="AP18" s="3"/>
      <c r="AQ18" s="3"/>
      <c r="AR18" s="3"/>
      <c r="AS18" s="30">
        <f>AR19-AR17</f>
        <v>31.249999999993065</v>
      </c>
      <c r="AT18" s="4"/>
      <c r="AU18" s="30">
        <f>AV17-AV19</f>
        <v>-31.250000000023078</v>
      </c>
      <c r="AV18" s="3"/>
      <c r="AW18" s="3"/>
      <c r="AX18" s="3"/>
      <c r="AY18" s="3"/>
      <c r="AZ18" s="5"/>
      <c r="BC18" s="2"/>
      <c r="BD18" s="3"/>
      <c r="BE18" s="3"/>
      <c r="BF18" s="3"/>
      <c r="BG18" s="30">
        <f>BF19-BF17</f>
        <v>9.9998916259664838E-3</v>
      </c>
      <c r="BH18" s="4"/>
      <c r="BI18" s="30">
        <f>BJ17-BJ19</f>
        <v>-9.9998916400636517E-3</v>
      </c>
      <c r="BJ18" s="3"/>
      <c r="BK18" s="3"/>
      <c r="BL18" s="3"/>
      <c r="BM18" s="3"/>
      <c r="BN18" s="5"/>
    </row>
    <row r="19" spans="3:66" x14ac:dyDescent="0.25">
      <c r="AA19" s="13"/>
      <c r="AB19" s="8"/>
      <c r="AC19" s="8"/>
      <c r="AD19" s="7">
        <f>SUM(AC22:AE22)</f>
        <v>1467.50000000002</v>
      </c>
      <c r="AE19" s="12" t="s">
        <v>10</v>
      </c>
      <c r="AF19" s="8"/>
      <c r="AG19" s="12" t="s">
        <v>12</v>
      </c>
      <c r="AH19" s="7">
        <f>SUM(AD25,AG26,AH21)</f>
        <v>1314.9999999999991</v>
      </c>
      <c r="AI19" s="8"/>
      <c r="AJ19" s="8"/>
      <c r="AK19" s="8"/>
      <c r="AL19" s="15"/>
      <c r="AM19" s="1"/>
      <c r="AN19" s="1"/>
      <c r="AO19" s="13"/>
      <c r="AP19" s="8"/>
      <c r="AQ19" s="8"/>
      <c r="AR19" s="7">
        <f>SUM(AQ22:AS22)</f>
        <v>776.24999999999204</v>
      </c>
      <c r="AS19" s="12" t="s">
        <v>10</v>
      </c>
      <c r="AT19" s="8"/>
      <c r="AU19" s="12" t="s">
        <v>12</v>
      </c>
      <c r="AV19" s="7">
        <f>SUM(AR25,AU26,AV21)</f>
        <v>903.75000000002206</v>
      </c>
      <c r="AW19" s="8"/>
      <c r="AX19" s="8"/>
      <c r="AY19" s="8"/>
      <c r="AZ19" s="15"/>
      <c r="BA19" s="1"/>
      <c r="BB19" s="1"/>
      <c r="BC19" s="13"/>
      <c r="BD19" s="8"/>
      <c r="BE19" s="8"/>
      <c r="BF19" s="7">
        <f>SUM(BE22:BG22)</f>
        <v>1089.514786219748</v>
      </c>
      <c r="BG19" s="12" t="s">
        <v>10</v>
      </c>
      <c r="BH19" s="8"/>
      <c r="BI19" s="12" t="s">
        <v>12</v>
      </c>
      <c r="BJ19" s="7">
        <f>SUM(BF25,BI26,BJ21)</f>
        <v>1633.96109203124</v>
      </c>
      <c r="BK19" s="8"/>
      <c r="BL19" s="8"/>
      <c r="BM19" s="8"/>
      <c r="BN19" s="15"/>
    </row>
    <row r="20" spans="3:66" x14ac:dyDescent="0.25">
      <c r="AA20" s="6"/>
      <c r="AB20" s="8"/>
      <c r="AC20" s="7"/>
      <c r="AD20" s="7"/>
      <c r="AE20" s="7"/>
      <c r="AF20" s="8"/>
      <c r="AG20" s="7"/>
      <c r="AH20" s="7"/>
      <c r="AI20" s="7"/>
      <c r="AJ20" s="7"/>
      <c r="AK20" s="8"/>
      <c r="AL20" s="10"/>
      <c r="AO20" s="6"/>
      <c r="AP20" s="8"/>
      <c r="AQ20" s="7"/>
      <c r="AR20" s="7"/>
      <c r="AS20" s="7"/>
      <c r="AT20" s="8"/>
      <c r="AU20" s="7"/>
      <c r="AV20" s="7"/>
      <c r="AW20" s="7"/>
      <c r="AX20" s="7"/>
      <c r="AY20" s="8"/>
      <c r="AZ20" s="10"/>
      <c r="BC20" s="6"/>
      <c r="BD20" s="8"/>
      <c r="BE20" s="7"/>
      <c r="BF20" s="7"/>
      <c r="BG20" s="7"/>
      <c r="BH20" s="8"/>
      <c r="BI20" s="7"/>
      <c r="BJ20" s="7"/>
      <c r="BK20" s="7"/>
      <c r="BL20" s="7"/>
      <c r="BM20" s="8"/>
      <c r="BN20" s="10"/>
    </row>
    <row r="21" spans="3:66" x14ac:dyDescent="0.25">
      <c r="AA21" s="6"/>
      <c r="AB21" s="8"/>
      <c r="AC21" s="7"/>
      <c r="AD21" s="7"/>
      <c r="AE21" s="7"/>
      <c r="AF21" s="8"/>
      <c r="AG21" s="9"/>
      <c r="AH21" s="7"/>
      <c r="AI21" s="7"/>
      <c r="AJ21" s="7"/>
      <c r="AK21" s="8"/>
      <c r="AL21" s="10"/>
      <c r="AO21" s="6"/>
      <c r="AP21" s="8"/>
      <c r="AQ21" s="7"/>
      <c r="AR21" s="7"/>
      <c r="AS21" s="7"/>
      <c r="AT21" s="8"/>
      <c r="AU21" s="9"/>
      <c r="AV21" s="7"/>
      <c r="AW21" s="7"/>
      <c r="AX21" s="7"/>
      <c r="AY21" s="8"/>
      <c r="AZ21" s="10"/>
      <c r="BC21" s="6"/>
      <c r="BD21" s="8"/>
      <c r="BE21" s="7"/>
      <c r="BF21" s="7"/>
      <c r="BG21" s="7"/>
      <c r="BH21" s="8"/>
      <c r="BI21" s="9"/>
      <c r="BJ21" s="7"/>
      <c r="BK21" s="7"/>
      <c r="BL21" s="7"/>
      <c r="BM21" s="8"/>
      <c r="BN21" s="10"/>
    </row>
    <row r="22" spans="3:66" x14ac:dyDescent="0.25">
      <c r="AA22" s="6"/>
      <c r="AB22" s="8"/>
      <c r="AC22" s="11"/>
      <c r="AD22" s="34">
        <f>INDEX(exported_results[asn_vol],MATCH(turn_ids!AD22,exported_results[key],0))</f>
        <v>1127.50000000002</v>
      </c>
      <c r="AE22" s="34">
        <f>INDEX(exported_results[asn_vol],MATCH(turn_ids!AE22,exported_results[key],0))</f>
        <v>340</v>
      </c>
      <c r="AF22" s="8"/>
      <c r="AG22" s="9"/>
      <c r="AH22" s="7"/>
      <c r="AI22" s="7"/>
      <c r="AJ22" s="7"/>
      <c r="AK22" s="8"/>
      <c r="AL22" s="10"/>
      <c r="AO22" s="6"/>
      <c r="AP22" s="8"/>
      <c r="AQ22" s="11"/>
      <c r="AR22" s="34">
        <f>INDEX(exported_results[asn_vol],MATCH(turn_ids!AR22,exported_results[key],0))</f>
        <v>521.24999999999204</v>
      </c>
      <c r="AS22" s="34">
        <f>INDEX(exported_results[asn_vol],MATCH(turn_ids!AS22,exported_results[key],0))</f>
        <v>255</v>
      </c>
      <c r="AT22" s="8"/>
      <c r="AU22" s="9"/>
      <c r="AV22" s="7"/>
      <c r="AW22" s="7"/>
      <c r="AX22" s="7"/>
      <c r="AY22" s="8"/>
      <c r="AZ22" s="10"/>
      <c r="BC22" s="6"/>
      <c r="BD22" s="8"/>
      <c r="BE22" s="11"/>
      <c r="BF22" s="34">
        <f>INDEX(exported_results[asn_vol],MATCH(turn_ids!BF22,exported_results[key],0))</f>
        <v>919.51478621974798</v>
      </c>
      <c r="BG22" s="34">
        <f>INDEX(exported_results[asn_vol],MATCH(turn_ids!BG22,exported_results[key],0))</f>
        <v>170</v>
      </c>
      <c r="BH22" s="8"/>
      <c r="BI22" s="9"/>
      <c r="BJ22" s="7"/>
      <c r="BK22" s="7"/>
      <c r="BL22" s="7"/>
      <c r="BM22" s="8"/>
      <c r="BN22" s="10"/>
    </row>
    <row r="23" spans="3:66" x14ac:dyDescent="0.25">
      <c r="AA23" s="21"/>
      <c r="AB23" s="8"/>
      <c r="AC23" s="12"/>
      <c r="AD23" s="12" t="s">
        <v>10</v>
      </c>
      <c r="AE23" s="12">
        <v>9</v>
      </c>
      <c r="AF23" s="8"/>
      <c r="AG23" s="9"/>
      <c r="AH23" s="7"/>
      <c r="AI23" s="7"/>
      <c r="AJ23" s="7"/>
      <c r="AK23" s="24"/>
      <c r="AL23" s="10"/>
      <c r="AO23" s="21"/>
      <c r="AP23" s="8"/>
      <c r="AQ23" s="12"/>
      <c r="AR23" s="12" t="s">
        <v>10</v>
      </c>
      <c r="AS23" s="12">
        <v>9</v>
      </c>
      <c r="AT23" s="8"/>
      <c r="AU23" s="9"/>
      <c r="AV23" s="7"/>
      <c r="AW23" s="7"/>
      <c r="AX23" s="7"/>
      <c r="AY23" s="24"/>
      <c r="AZ23" s="10"/>
      <c r="BC23" s="21"/>
      <c r="BD23" s="8"/>
      <c r="BE23" s="12"/>
      <c r="BF23" s="12" t="s">
        <v>10</v>
      </c>
      <c r="BG23" s="12">
        <v>9</v>
      </c>
      <c r="BH23" s="8"/>
      <c r="BI23" s="9"/>
      <c r="BJ23" s="7"/>
      <c r="BK23" s="7"/>
      <c r="BL23" s="7"/>
      <c r="BM23" s="24"/>
      <c r="BN23" s="10"/>
    </row>
    <row r="24" spans="3:66" x14ac:dyDescent="0.25">
      <c r="AA24" s="14">
        <v>319</v>
      </c>
      <c r="AB24" s="23" t="s">
        <v>17</v>
      </c>
      <c r="AC24" s="23" t="s">
        <v>17</v>
      </c>
      <c r="AD24" s="23" t="s">
        <v>17</v>
      </c>
      <c r="AE24" s="23" t="s">
        <v>17</v>
      </c>
      <c r="AF24" s="14">
        <v>320</v>
      </c>
      <c r="AG24" s="23" t="s">
        <v>17</v>
      </c>
      <c r="AH24" s="23" t="s">
        <v>17</v>
      </c>
      <c r="AI24" s="23" t="s">
        <v>17</v>
      </c>
      <c r="AJ24" s="23" t="s">
        <v>17</v>
      </c>
      <c r="AK24" s="23" t="s">
        <v>17</v>
      </c>
      <c r="AL24" s="14">
        <v>321</v>
      </c>
      <c r="AO24" s="14">
        <v>322</v>
      </c>
      <c r="AP24" s="23" t="s">
        <v>17</v>
      </c>
      <c r="AQ24" s="23" t="s">
        <v>17</v>
      </c>
      <c r="AR24" s="23" t="s">
        <v>17</v>
      </c>
      <c r="AS24" s="23" t="s">
        <v>17</v>
      </c>
      <c r="AT24" s="14">
        <v>323</v>
      </c>
      <c r="AU24" s="23" t="s">
        <v>17</v>
      </c>
      <c r="AV24" s="23" t="s">
        <v>17</v>
      </c>
      <c r="AW24" s="23" t="s">
        <v>17</v>
      </c>
      <c r="AX24" s="23" t="s">
        <v>17</v>
      </c>
      <c r="AY24" s="23" t="s">
        <v>17</v>
      </c>
      <c r="AZ24" s="14">
        <v>324</v>
      </c>
      <c r="BC24" s="14">
        <v>325</v>
      </c>
      <c r="BD24" s="23" t="s">
        <v>17</v>
      </c>
      <c r="BE24" s="23" t="s">
        <v>17</v>
      </c>
      <c r="BF24" s="23" t="s">
        <v>17</v>
      </c>
      <c r="BG24" s="23" t="s">
        <v>17</v>
      </c>
      <c r="BH24" s="14">
        <v>326</v>
      </c>
      <c r="BI24" s="23" t="s">
        <v>17</v>
      </c>
      <c r="BJ24" s="23" t="s">
        <v>17</v>
      </c>
      <c r="BK24" s="23" t="s">
        <v>17</v>
      </c>
      <c r="BL24" s="23" t="s">
        <v>17</v>
      </c>
      <c r="BM24" s="23" t="s">
        <v>17</v>
      </c>
      <c r="BN24" s="14">
        <v>327</v>
      </c>
    </row>
    <row r="25" spans="3:66" x14ac:dyDescent="0.25">
      <c r="AA25" s="21" t="s">
        <v>8</v>
      </c>
      <c r="AB25" s="27">
        <v>890</v>
      </c>
      <c r="AC25" s="7"/>
      <c r="AD25" s="34">
        <f>INDEX(exported_results[asn_vol],MATCH(turn_ids!AD25,exported_results[key],0))</f>
        <v>510</v>
      </c>
      <c r="AE25" s="9" t="s">
        <v>7</v>
      </c>
      <c r="AF25" s="8"/>
      <c r="AG25" s="12" t="s">
        <v>12</v>
      </c>
      <c r="AH25" s="12" t="s">
        <v>13</v>
      </c>
      <c r="AJ25" s="27">
        <v>740</v>
      </c>
      <c r="AK25" s="20" t="s">
        <v>8</v>
      </c>
      <c r="AL25" s="10">
        <f>AM26-AK26</f>
        <v>-595</v>
      </c>
      <c r="AO25" s="21" t="s">
        <v>8</v>
      </c>
      <c r="AP25" s="27">
        <v>740</v>
      </c>
      <c r="AQ25" s="7"/>
      <c r="AR25" s="34">
        <f>INDEX(exported_results[asn_vol],MATCH(turn_ids!AR25,exported_results[key],0))</f>
        <v>170</v>
      </c>
      <c r="AS25" s="9" t="s">
        <v>7</v>
      </c>
      <c r="AT25" s="8"/>
      <c r="AU25" s="12" t="s">
        <v>12</v>
      </c>
      <c r="AV25" s="12" t="s">
        <v>13</v>
      </c>
      <c r="AX25" s="27">
        <v>390</v>
      </c>
      <c r="AY25" s="20" t="s">
        <v>8</v>
      </c>
      <c r="AZ25" s="10">
        <f>BA26-AY26</f>
        <v>-382.5</v>
      </c>
      <c r="BC25" s="21" t="s">
        <v>8</v>
      </c>
      <c r="BD25" s="27">
        <v>820</v>
      </c>
      <c r="BE25" s="7"/>
      <c r="BF25" s="34">
        <f>INDEX(exported_results[asn_vol],MATCH(turn_ids!BF25,exported_results[key],0))</f>
        <v>425</v>
      </c>
      <c r="BG25" s="9" t="s">
        <v>7</v>
      </c>
      <c r="BH25" s="8"/>
      <c r="BI25" s="12" t="s">
        <v>12</v>
      </c>
      <c r="BJ25" s="12" t="s">
        <v>13</v>
      </c>
      <c r="BL25" s="27">
        <v>270</v>
      </c>
      <c r="BM25" s="20" t="s">
        <v>8</v>
      </c>
      <c r="BN25" s="10">
        <f>BO26-BM26</f>
        <v>-212.5</v>
      </c>
    </row>
    <row r="26" spans="3:66" x14ac:dyDescent="0.25">
      <c r="AA26" s="6">
        <f>SUM(AD25:AD26)</f>
        <v>807.5</v>
      </c>
      <c r="AB26" s="7"/>
      <c r="AC26" s="7"/>
      <c r="AD26" s="34">
        <f>INDEX(exported_results[asn_vol],MATCH(turn_ids!AD26,exported_results[key],0))</f>
        <v>297.5</v>
      </c>
      <c r="AE26" s="9" t="s">
        <v>9</v>
      </c>
      <c r="AF26" s="8"/>
      <c r="AG26" s="34">
        <f>INDEX(exported_results[asn_vol],MATCH(turn_ids!AG26,exported_results[key],0))</f>
        <v>804.99999999999898</v>
      </c>
      <c r="AH26" s="34">
        <f>INDEX(exported_results[asn_vol],MATCH(turn_ids!AH26,exported_results[key],0))</f>
        <v>255</v>
      </c>
      <c r="AJ26" s="7"/>
      <c r="AK26" s="7">
        <f>SUM(AE22,AH26)</f>
        <v>595</v>
      </c>
      <c r="AL26" s="10"/>
      <c r="AO26" s="6">
        <f>SUM(AR25:AR26)</f>
        <v>552.5</v>
      </c>
      <c r="AP26" s="7"/>
      <c r="AQ26" s="7"/>
      <c r="AR26" s="34">
        <f>INDEX(exported_results[asn_vol],MATCH(turn_ids!AR26,exported_results[key],0))</f>
        <v>382.5</v>
      </c>
      <c r="AS26" s="9" t="s">
        <v>9</v>
      </c>
      <c r="AT26" s="8"/>
      <c r="AU26" s="34">
        <f>INDEX(exported_results[asn_vol],MATCH(turn_ids!AU26,exported_results[key],0))</f>
        <v>733.75000000002206</v>
      </c>
      <c r="AV26" s="34">
        <f>INDEX(exported_results[asn_vol],MATCH(turn_ids!AV26,exported_results[key],0))</f>
        <v>127.5</v>
      </c>
      <c r="AX26" s="7"/>
      <c r="AY26" s="7">
        <f>SUM(AS22,AV26)</f>
        <v>382.5</v>
      </c>
      <c r="AZ26" s="10"/>
      <c r="BC26" s="6">
        <f>SUM(BF25:BF26)</f>
        <v>552.5</v>
      </c>
      <c r="BD26" s="7"/>
      <c r="BE26" s="7"/>
      <c r="BF26" s="34">
        <f>INDEX(exported_results[asn_vol],MATCH(turn_ids!BF26,exported_results[key],0))</f>
        <v>127.5</v>
      </c>
      <c r="BG26" s="9" t="s">
        <v>9</v>
      </c>
      <c r="BH26" s="8"/>
      <c r="BI26" s="34">
        <f>INDEX(exported_results[asn_vol],MATCH(turn_ids!BI26,exported_results[key],0))</f>
        <v>1208.96109203124</v>
      </c>
      <c r="BJ26" s="34">
        <f>INDEX(exported_results[asn_vol],MATCH(turn_ids!BJ26,exported_results[key],0))</f>
        <v>42.5</v>
      </c>
      <c r="BL26" s="7"/>
      <c r="BM26" s="7">
        <f>SUM(BG22,BJ26)</f>
        <v>212.5</v>
      </c>
      <c r="BN26" s="10"/>
    </row>
    <row r="27" spans="3:66" x14ac:dyDescent="0.25">
      <c r="AA27" s="6"/>
      <c r="AB27" s="7"/>
      <c r="AC27" s="7"/>
      <c r="AF27" s="8"/>
      <c r="AG27" s="7"/>
      <c r="AH27" s="7"/>
      <c r="AI27" s="7"/>
      <c r="AJ27" s="7"/>
      <c r="AK27" s="7"/>
      <c r="AL27" s="10"/>
      <c r="AO27" s="6"/>
      <c r="AP27" s="7"/>
      <c r="AQ27" s="7"/>
      <c r="AT27" s="8"/>
      <c r="AU27" s="7"/>
      <c r="AV27" s="7"/>
      <c r="AW27" s="7"/>
      <c r="AX27" s="7"/>
      <c r="AY27" s="7"/>
      <c r="AZ27" s="10"/>
      <c r="BC27" s="6"/>
      <c r="BD27" s="7"/>
      <c r="BE27" s="7"/>
      <c r="BH27" s="8"/>
      <c r="BI27" s="7"/>
      <c r="BJ27" s="7"/>
      <c r="BK27" s="7"/>
      <c r="BL27" s="7"/>
      <c r="BM27" s="7"/>
      <c r="BN27" s="10"/>
    </row>
    <row r="28" spans="3:66" x14ac:dyDescent="0.25">
      <c r="AA28" s="6"/>
      <c r="AB28" s="7"/>
      <c r="AC28" s="7"/>
      <c r="AD28" s="7"/>
      <c r="AE28" s="7"/>
      <c r="AF28" s="8"/>
      <c r="AG28" s="7"/>
      <c r="AH28" s="7"/>
      <c r="AI28" s="7"/>
      <c r="AJ28" s="7"/>
      <c r="AK28" s="7"/>
      <c r="AL28" s="10"/>
      <c r="AO28" s="6"/>
      <c r="AP28" s="7"/>
      <c r="AQ28" s="7"/>
      <c r="AR28" s="7"/>
      <c r="AS28" s="7"/>
      <c r="AT28" s="8"/>
      <c r="AU28" s="7"/>
      <c r="AV28" s="7"/>
      <c r="AW28" s="7"/>
      <c r="AX28" s="7"/>
      <c r="AY28" s="7"/>
      <c r="AZ28" s="10"/>
      <c r="BC28" s="6"/>
      <c r="BD28" s="7"/>
      <c r="BE28" s="7"/>
      <c r="BF28" s="7"/>
      <c r="BG28" s="7"/>
      <c r="BH28" s="8"/>
      <c r="BI28" s="7"/>
      <c r="BJ28" s="7"/>
      <c r="BK28" s="7"/>
      <c r="BL28" s="7"/>
      <c r="BM28" s="7"/>
      <c r="BN28" s="10"/>
    </row>
    <row r="29" spans="3:66" x14ac:dyDescent="0.25">
      <c r="AA29" s="16"/>
      <c r="AB29" s="17"/>
      <c r="AC29" s="17"/>
      <c r="AD29" s="17">
        <f>SUM(AH23,AD22,AD26)</f>
        <v>1425.00000000002</v>
      </c>
      <c r="AE29" s="22" t="s">
        <v>10</v>
      </c>
      <c r="AF29" s="18"/>
      <c r="AG29" s="22" t="s">
        <v>12</v>
      </c>
      <c r="AH29" s="17">
        <f>SUM(AG26:AH26)</f>
        <v>1059.9999999999991</v>
      </c>
      <c r="AI29" s="17"/>
      <c r="AJ29" s="17"/>
      <c r="AK29" s="17"/>
      <c r="AL29" s="19"/>
      <c r="AO29" s="16"/>
      <c r="AP29" s="17"/>
      <c r="AQ29" s="17"/>
      <c r="AR29" s="17">
        <f>SUM(AV23,AR22,AR26)</f>
        <v>903.74999999999204</v>
      </c>
      <c r="AS29" s="22" t="s">
        <v>10</v>
      </c>
      <c r="AT29" s="18"/>
      <c r="AU29" s="22" t="s">
        <v>12</v>
      </c>
      <c r="AV29" s="17">
        <f>SUM(AU26:AV26)</f>
        <v>861.25000000002206</v>
      </c>
      <c r="AW29" s="17"/>
      <c r="AX29" s="17"/>
      <c r="AY29" s="17"/>
      <c r="AZ29" s="19"/>
      <c r="BC29" s="16"/>
      <c r="BD29" s="17"/>
      <c r="BE29" s="17"/>
      <c r="BF29" s="17">
        <f>SUM(BJ23,BF22,BF26)</f>
        <v>1047.014786219748</v>
      </c>
      <c r="BG29" s="22" t="s">
        <v>10</v>
      </c>
      <c r="BH29" s="18"/>
      <c r="BI29" s="22" t="s">
        <v>12</v>
      </c>
      <c r="BJ29" s="17">
        <f>SUM(BI26:BJ26)</f>
        <v>1251.46109203124</v>
      </c>
      <c r="BK29" s="17"/>
      <c r="BL29" s="17"/>
      <c r="BM29" s="17"/>
      <c r="BN29" s="19"/>
    </row>
    <row r="30" spans="3:66" x14ac:dyDescent="0.25">
      <c r="C30" s="2"/>
      <c r="D30" s="3"/>
      <c r="E30" s="3"/>
      <c r="F30" s="3"/>
      <c r="G30" s="3">
        <f>F31-F29</f>
        <v>552.5</v>
      </c>
      <c r="H30" s="14">
        <v>223</v>
      </c>
      <c r="I30" s="3"/>
      <c r="J30" s="3"/>
      <c r="K30" s="3"/>
      <c r="L30" s="3"/>
      <c r="M30" s="3"/>
      <c r="N30" s="5"/>
      <c r="O30" s="2"/>
      <c r="P30" s="3"/>
      <c r="Q30" s="3"/>
      <c r="R30" s="3"/>
      <c r="S30" s="3"/>
      <c r="T30" s="14">
        <v>114</v>
      </c>
      <c r="U30" s="3">
        <f>V29-V31</f>
        <v>-340</v>
      </c>
      <c r="V30" s="3"/>
      <c r="W30" s="3"/>
      <c r="X30" s="3"/>
      <c r="Y30" s="3"/>
      <c r="Z30" s="5"/>
      <c r="AA30" s="2"/>
      <c r="AB30" s="3"/>
      <c r="AC30" s="3"/>
      <c r="AD30" s="3"/>
      <c r="AE30" s="30">
        <f>AD31-AD29</f>
        <v>19.999999999979991</v>
      </c>
      <c r="AF30" s="4"/>
      <c r="AG30" s="30">
        <f>AH29-AH31</f>
        <v>-36.250000000010914</v>
      </c>
      <c r="AH30" s="3"/>
      <c r="AI30" s="3"/>
      <c r="AJ30" s="3"/>
      <c r="AK30" s="3"/>
      <c r="AL30" s="5"/>
      <c r="AM30" s="2"/>
      <c r="AN30" s="3"/>
      <c r="AO30" s="2"/>
      <c r="AP30" s="3"/>
      <c r="AQ30" s="3"/>
      <c r="AR30" s="3"/>
      <c r="AS30" s="30">
        <f>AR31-AR29</f>
        <v>31.250000000007958</v>
      </c>
      <c r="AT30" s="4"/>
      <c r="AU30" s="30">
        <f>AV29-AV31</f>
        <v>-31.249999999977945</v>
      </c>
      <c r="AV30" s="3"/>
      <c r="AW30" s="3"/>
      <c r="AX30" s="3"/>
      <c r="AY30" s="3"/>
      <c r="AZ30" s="5"/>
      <c r="BA30" s="2"/>
      <c r="BB30" s="3"/>
      <c r="BC30" s="2"/>
      <c r="BD30" s="3"/>
      <c r="BE30" s="3"/>
      <c r="BF30" s="3"/>
      <c r="BG30" s="30">
        <f>BF31-BF29</f>
        <v>9.9997647482723551E-3</v>
      </c>
      <c r="BH30" s="4"/>
      <c r="BI30" s="30">
        <f>BJ29-BJ31</f>
        <v>-9.9997648269436468E-3</v>
      </c>
      <c r="BJ30" s="3"/>
      <c r="BK30" s="3"/>
      <c r="BL30" s="3"/>
      <c r="BM30" s="3"/>
      <c r="BN30" s="5"/>
    </row>
    <row r="31" spans="3:66" x14ac:dyDescent="0.25">
      <c r="C31" s="6"/>
      <c r="D31" s="7"/>
      <c r="E31" s="7"/>
      <c r="F31" s="7">
        <f>SUM(F34:G34)</f>
        <v>552.5</v>
      </c>
      <c r="G31" s="12" t="s">
        <v>10</v>
      </c>
      <c r="H31" s="23" t="s">
        <v>20</v>
      </c>
      <c r="I31" s="12"/>
      <c r="J31" s="7"/>
      <c r="K31" s="7"/>
      <c r="L31" s="7"/>
      <c r="M31" s="7"/>
      <c r="N31" s="10"/>
      <c r="O31" s="6"/>
      <c r="P31" s="7"/>
      <c r="Q31" s="7"/>
      <c r="R31" s="7"/>
      <c r="S31" s="12"/>
      <c r="T31" s="23" t="s">
        <v>19</v>
      </c>
      <c r="U31" s="12" t="s">
        <v>12</v>
      </c>
      <c r="V31" s="7">
        <f>SUM(R37,V34)</f>
        <v>340</v>
      </c>
      <c r="W31" s="7"/>
      <c r="X31" s="7"/>
      <c r="Y31" s="7"/>
      <c r="Z31" s="10"/>
      <c r="AA31" s="6"/>
      <c r="AB31" s="7"/>
      <c r="AC31" s="7"/>
      <c r="AD31" s="7">
        <f>SUM(AC34:AE34)</f>
        <v>1445</v>
      </c>
      <c r="AE31" s="12" t="s">
        <v>10</v>
      </c>
      <c r="AF31" s="8"/>
      <c r="AG31" s="12" t="s">
        <v>12</v>
      </c>
      <c r="AH31" s="7">
        <f>SUM(AD37,AH38,AH33)</f>
        <v>1096.25000000001</v>
      </c>
      <c r="AI31" s="7"/>
      <c r="AJ31" s="7"/>
      <c r="AK31" s="7"/>
      <c r="AL31" s="10"/>
      <c r="AM31" s="6"/>
      <c r="AN31" s="7"/>
      <c r="AO31" s="6"/>
      <c r="AP31" s="7"/>
      <c r="AQ31" s="7"/>
      <c r="AR31" s="7">
        <f>SUM(AQ34:AS34)</f>
        <v>935</v>
      </c>
      <c r="AS31" s="12" t="s">
        <v>10</v>
      </c>
      <c r="AT31" s="8"/>
      <c r="AU31" s="12" t="s">
        <v>12</v>
      </c>
      <c r="AV31" s="7">
        <f>SUM(AR37,AV38,AV33)</f>
        <v>892.5</v>
      </c>
      <c r="AW31" s="7"/>
      <c r="AX31" s="7"/>
      <c r="AY31" s="7"/>
      <c r="AZ31" s="10"/>
      <c r="BA31" s="6"/>
      <c r="BB31" s="7"/>
      <c r="BC31" s="6"/>
      <c r="BD31" s="7"/>
      <c r="BE31" s="7"/>
      <c r="BF31" s="7">
        <f>SUM(BE34:BG34)</f>
        <v>1047.0247859844962</v>
      </c>
      <c r="BG31" s="12" t="s">
        <v>10</v>
      </c>
      <c r="BH31" s="8"/>
      <c r="BI31" s="12" t="s">
        <v>12</v>
      </c>
      <c r="BJ31" s="7">
        <f>SUM(BF37,BJ38,BJ33)</f>
        <v>1251.471091796067</v>
      </c>
      <c r="BK31" s="7"/>
      <c r="BL31" s="7"/>
      <c r="BM31" s="7"/>
      <c r="BN31" s="10"/>
    </row>
    <row r="32" spans="3:66" x14ac:dyDescent="0.25">
      <c r="C32" s="6"/>
      <c r="D32" s="7"/>
      <c r="E32" s="7"/>
      <c r="F32" s="7"/>
      <c r="G32" s="27">
        <v>650</v>
      </c>
      <c r="H32" s="23" t="s">
        <v>20</v>
      </c>
      <c r="I32" s="7"/>
      <c r="J32" s="7"/>
      <c r="K32" s="7"/>
      <c r="L32" s="7"/>
      <c r="M32" s="7"/>
      <c r="N32" s="10"/>
      <c r="O32" s="6"/>
      <c r="P32" s="7"/>
      <c r="Q32" s="7"/>
      <c r="R32" s="7"/>
      <c r="S32" s="7"/>
      <c r="T32" s="23" t="s">
        <v>19</v>
      </c>
      <c r="U32" s="27">
        <v>490</v>
      </c>
      <c r="V32" s="7"/>
      <c r="W32" s="7"/>
      <c r="X32" s="7"/>
      <c r="Y32" s="7"/>
      <c r="Z32" s="10"/>
      <c r="AA32" s="6"/>
      <c r="AB32" s="7"/>
      <c r="AC32" s="7"/>
      <c r="AD32" s="7"/>
      <c r="AE32" s="7"/>
      <c r="AF32" s="8"/>
      <c r="AG32" s="7"/>
      <c r="AH32" s="7"/>
      <c r="AI32" s="7"/>
      <c r="AJ32" s="7"/>
      <c r="AK32" s="7"/>
      <c r="AL32" s="10"/>
      <c r="AM32" s="6"/>
      <c r="AN32" s="7"/>
      <c r="AO32" s="6"/>
      <c r="AP32" s="7"/>
      <c r="AQ32" s="7"/>
      <c r="AR32" s="7"/>
      <c r="AS32" s="7"/>
      <c r="AT32" s="8"/>
      <c r="AU32" s="7"/>
      <c r="AV32" s="7"/>
      <c r="AW32" s="7"/>
      <c r="AX32" s="7"/>
      <c r="AY32" s="7"/>
      <c r="AZ32" s="10"/>
      <c r="BA32" s="6"/>
      <c r="BB32" s="7"/>
      <c r="BC32" s="6"/>
      <c r="BD32" s="7"/>
      <c r="BE32" s="7"/>
      <c r="BF32" s="7"/>
      <c r="BG32" s="7"/>
      <c r="BH32" s="8"/>
      <c r="BI32" s="7"/>
      <c r="BJ32" s="7"/>
      <c r="BK32" s="7"/>
      <c r="BL32" s="7"/>
      <c r="BM32" s="7"/>
      <c r="BN32" s="10"/>
    </row>
    <row r="33" spans="2:67" x14ac:dyDescent="0.25">
      <c r="C33" s="6"/>
      <c r="D33" s="7"/>
      <c r="E33" s="7"/>
      <c r="F33" s="7"/>
      <c r="G33" s="7"/>
      <c r="H33" s="23" t="s">
        <v>20</v>
      </c>
      <c r="I33" s="9"/>
      <c r="J33" s="7"/>
      <c r="K33" s="7"/>
      <c r="L33" s="7"/>
      <c r="M33" s="7"/>
      <c r="N33" s="10"/>
      <c r="O33" s="6"/>
      <c r="P33" s="7"/>
      <c r="Q33" s="7"/>
      <c r="R33" s="7"/>
      <c r="S33" s="7"/>
      <c r="T33" s="23" t="s">
        <v>19</v>
      </c>
      <c r="W33" s="7"/>
      <c r="X33" s="7"/>
      <c r="Y33" s="7"/>
      <c r="Z33" s="10"/>
      <c r="AA33" s="6"/>
      <c r="AB33" s="7"/>
      <c r="AC33" s="7"/>
      <c r="AD33" s="7"/>
      <c r="AE33" s="7"/>
      <c r="AF33" s="8"/>
      <c r="AG33" s="9" t="s">
        <v>14</v>
      </c>
      <c r="AH33" s="35">
        <f>INDEX(exported_results[asn_vol],MATCH(turn_ids!AH33,exported_results[key],0))</f>
        <v>85</v>
      </c>
      <c r="AI33" s="7"/>
      <c r="AJ33" s="7"/>
      <c r="AK33" s="7"/>
      <c r="AL33" s="10"/>
      <c r="AM33" s="6"/>
      <c r="AN33" s="7"/>
      <c r="AO33" s="6"/>
      <c r="AP33" s="7"/>
      <c r="AQ33" s="7"/>
      <c r="AR33" s="7"/>
      <c r="AS33" s="7"/>
      <c r="AT33" s="8"/>
      <c r="AU33" s="9" t="s">
        <v>14</v>
      </c>
      <c r="AV33" s="34">
        <f>INDEX(exported_results[asn_vol],MATCH(turn_ids!AV33,exported_results[key],0))</f>
        <v>85</v>
      </c>
      <c r="AW33" s="7"/>
      <c r="AX33" s="7"/>
      <c r="AY33" s="7"/>
      <c r="AZ33" s="10"/>
      <c r="BA33" s="6"/>
      <c r="BB33" s="7"/>
      <c r="BC33" s="6"/>
      <c r="BD33" s="7"/>
      <c r="BE33" s="7"/>
      <c r="BF33" s="7"/>
      <c r="BG33" s="7"/>
      <c r="BH33" s="8"/>
      <c r="BI33" s="9" t="s">
        <v>14</v>
      </c>
      <c r="BJ33" s="34">
        <f>INDEX(exported_results[asn_vol],MATCH(turn_ids!BJ33,exported_results[key],0))</f>
        <v>85.000162520434401</v>
      </c>
      <c r="BK33" s="7"/>
      <c r="BL33" s="7"/>
      <c r="BM33" s="7"/>
      <c r="BN33" s="10"/>
    </row>
    <row r="34" spans="2:67" x14ac:dyDescent="0.25">
      <c r="C34" s="6">
        <f>SUM(I38,J34,F34)</f>
        <v>372.49999999999898</v>
      </c>
      <c r="D34" s="7"/>
      <c r="F34" s="34">
        <f>INDEX(exported_results[asn_vol],MATCH(turn_ids!F34,exported_results[key],0))</f>
        <v>85</v>
      </c>
      <c r="G34" s="34">
        <f>INDEX(exported_results[asn_vol],MATCH(turn_ids!G34,exported_results[key],0))</f>
        <v>467.5</v>
      </c>
      <c r="H34" s="23" t="s">
        <v>20</v>
      </c>
      <c r="I34" s="9" t="s">
        <v>15</v>
      </c>
      <c r="J34" s="34">
        <f>INDEX(exported_results[asn_vol],MATCH(turn_ids!J34,exported_results[key],0))</f>
        <v>287.49999999999898</v>
      </c>
      <c r="K34" s="7"/>
      <c r="L34" s="7"/>
      <c r="M34" s="7">
        <f>SUM(J33:J35)</f>
        <v>882.49999999999898</v>
      </c>
      <c r="N34" s="10"/>
      <c r="O34" s="6">
        <f>SUM(U38,V35,Q34)</f>
        <v>914.16666666665003</v>
      </c>
      <c r="P34" s="7"/>
      <c r="Q34" s="11"/>
      <c r="R34" s="11"/>
      <c r="S34" s="11"/>
      <c r="T34" s="23" t="s">
        <v>19</v>
      </c>
      <c r="U34" s="9" t="s">
        <v>14</v>
      </c>
      <c r="V34" s="35">
        <f>INDEX(exported_results[asn_vol],MATCH(turn_ids!V34,exported_results[key],0))</f>
        <v>255</v>
      </c>
      <c r="W34" s="7"/>
      <c r="X34" s="7"/>
      <c r="Y34" s="7">
        <f>SUM(V34:V35)</f>
        <v>1126.6666666666501</v>
      </c>
      <c r="Z34" s="10"/>
      <c r="AA34" s="6">
        <f>SUM(AG38,AH34,AC34)</f>
        <v>1158.333333333348</v>
      </c>
      <c r="AB34" s="7"/>
      <c r="AC34" s="34">
        <f>INDEX(exported_results[asn_vol],MATCH(turn_ids!AC34,exported_results[key],0))</f>
        <v>170</v>
      </c>
      <c r="AD34" s="34">
        <f>INDEX(exported_results[asn_vol],MATCH(turn_ids!AD34,exported_results[key],0))</f>
        <v>1020</v>
      </c>
      <c r="AE34" s="34">
        <f>INDEX(exported_results[asn_vol],MATCH(turn_ids!AE34,exported_results[key],0))</f>
        <v>255</v>
      </c>
      <c r="AF34" s="8"/>
      <c r="AG34" s="9" t="s">
        <v>15</v>
      </c>
      <c r="AH34" s="35">
        <f>INDEX(exported_results[asn_vol],MATCH(turn_ids!AH34,exported_results[key],0))</f>
        <v>930.83333333334804</v>
      </c>
      <c r="AI34" s="7"/>
      <c r="AJ34" s="7"/>
      <c r="AK34" s="7">
        <f>SUM(AH33:AH35)</f>
        <v>1073.333333333348</v>
      </c>
      <c r="AL34" s="10"/>
      <c r="AM34" s="6">
        <f>SUM(AU38,AV34,AQ34)</f>
        <v>1105</v>
      </c>
      <c r="AN34" s="7"/>
      <c r="AO34" s="6"/>
      <c r="AP34" s="7"/>
      <c r="AQ34" s="34">
        <f>INDEX(exported_results[asn_vol],MATCH(turn_ids!AQ34,exported_results[key],0))</f>
        <v>212.5</v>
      </c>
      <c r="AR34" s="34">
        <f>INDEX(exported_results[asn_vol],MATCH(turn_ids!AR34,exported_results[key],0))</f>
        <v>680</v>
      </c>
      <c r="AS34" s="34">
        <f>INDEX(exported_results[asn_vol],MATCH(turn_ids!AS34,exported_results[key],0))</f>
        <v>42.5</v>
      </c>
      <c r="AT34" s="8"/>
      <c r="AU34" s="9" t="s">
        <v>15</v>
      </c>
      <c r="AV34" s="34">
        <f>INDEX(exported_results[asn_vol],MATCH(turn_ids!AV34,exported_results[key],0))</f>
        <v>850</v>
      </c>
      <c r="AW34" s="7"/>
      <c r="AX34" s="7"/>
      <c r="AY34" s="7">
        <f>SUM(AV33:AV35)</f>
        <v>1107.4999999999991</v>
      </c>
      <c r="AZ34" s="10"/>
      <c r="BA34" s="6">
        <f>SUM(BI38,BJ34,BE34)</f>
        <v>1107.5019536844152</v>
      </c>
      <c r="BB34" s="7"/>
      <c r="BC34" s="6"/>
      <c r="BD34" s="7"/>
      <c r="BE34" s="34">
        <f>INDEX(exported_results[asn_vol],MATCH(turn_ids!BE34,exported_results[key],0))</f>
        <v>170.19336338929099</v>
      </c>
      <c r="BF34" s="34">
        <f>INDEX(exported_results[asn_vol],MATCH(turn_ids!BF34,exported_results[key],0))</f>
        <v>791.44918024936896</v>
      </c>
      <c r="BG34" s="34">
        <f>INDEX(exported_results[asn_vol],MATCH(turn_ids!BG34,exported_results[key],0))</f>
        <v>85.382242345836303</v>
      </c>
      <c r="BH34" s="8"/>
      <c r="BI34" s="9" t="s">
        <v>15</v>
      </c>
      <c r="BJ34" s="34">
        <f>INDEX(exported_results[asn_vol],MATCH(turn_ids!BJ34,exported_results[key],0))</f>
        <v>822.32771307942005</v>
      </c>
      <c r="BK34" s="7"/>
      <c r="BL34" s="7"/>
      <c r="BM34" s="7">
        <f>SUM(BJ33:BJ35)</f>
        <v>1116.1344455613444</v>
      </c>
      <c r="BN34" s="10"/>
    </row>
    <row r="35" spans="2:67" x14ac:dyDescent="0.25">
      <c r="C35" s="21" t="s">
        <v>15</v>
      </c>
      <c r="D35" s="7"/>
      <c r="F35" s="12">
        <v>8</v>
      </c>
      <c r="G35" s="12">
        <v>9</v>
      </c>
      <c r="H35" s="23" t="s">
        <v>20</v>
      </c>
      <c r="I35" s="9" t="s">
        <v>16</v>
      </c>
      <c r="J35" s="34">
        <f>INDEX(exported_results[asn_vol],MATCH(turn_ids!J35,exported_results[key],0))</f>
        <v>595</v>
      </c>
      <c r="K35" s="7"/>
      <c r="L35" s="7"/>
      <c r="M35" s="20" t="s">
        <v>15</v>
      </c>
      <c r="N35" s="30">
        <f>M34-O34</f>
        <v>-31.666666666651054</v>
      </c>
      <c r="O35" s="21" t="s">
        <v>15</v>
      </c>
      <c r="P35" s="7"/>
      <c r="Q35" s="12"/>
      <c r="R35" s="12"/>
      <c r="S35" s="12"/>
      <c r="T35" s="23" t="s">
        <v>19</v>
      </c>
      <c r="U35" s="9" t="s">
        <v>15</v>
      </c>
      <c r="V35" s="35">
        <f>INDEX(exported_results[asn_vol],MATCH(turn_ids!V35,exported_results[key],0))</f>
        <v>871.66666666665003</v>
      </c>
      <c r="W35" s="7"/>
      <c r="X35" s="7"/>
      <c r="Y35" s="20" t="s">
        <v>15</v>
      </c>
      <c r="Z35" s="30">
        <f>Y34-AA34</f>
        <v>-31.666666666697893</v>
      </c>
      <c r="AA35" s="21" t="s">
        <v>15</v>
      </c>
      <c r="AB35" s="7"/>
      <c r="AC35" s="12">
        <v>8</v>
      </c>
      <c r="AD35" s="12" t="s">
        <v>10</v>
      </c>
      <c r="AE35" s="12">
        <v>9</v>
      </c>
      <c r="AF35" s="8"/>
      <c r="AG35" s="9" t="s">
        <v>16</v>
      </c>
      <c r="AH35" s="35">
        <f>INDEX(exported_results[asn_vol],MATCH(turn_ids!AH35,exported_results[key],0))</f>
        <v>57.499999999999901</v>
      </c>
      <c r="AI35" s="7"/>
      <c r="AJ35" s="7"/>
      <c r="AK35" s="20" t="s">
        <v>15</v>
      </c>
      <c r="AL35" s="30">
        <f>AK34-AM34</f>
        <v>-31.666666666651963</v>
      </c>
      <c r="AM35" s="21" t="s">
        <v>15</v>
      </c>
      <c r="AN35" s="20"/>
      <c r="AO35" s="21"/>
      <c r="AP35" s="7"/>
      <c r="AQ35" s="12">
        <v>8</v>
      </c>
      <c r="AR35" s="12" t="s">
        <v>10</v>
      </c>
      <c r="AS35" s="12">
        <v>9</v>
      </c>
      <c r="AT35" s="8"/>
      <c r="AU35" s="9" t="s">
        <v>16</v>
      </c>
      <c r="AV35" s="34">
        <f>INDEX(exported_results[asn_vol],MATCH(turn_ids!AV35,exported_results[key],0))</f>
        <v>172.49999999999901</v>
      </c>
      <c r="AW35" s="7"/>
      <c r="AX35" s="7"/>
      <c r="AY35" s="20" t="s">
        <v>15</v>
      </c>
      <c r="AZ35" s="30">
        <f>AY34-BA34</f>
        <v>-1.9536844160938927E-3</v>
      </c>
      <c r="BA35" s="21" t="s">
        <v>15</v>
      </c>
      <c r="BB35" s="20"/>
      <c r="BC35" s="21"/>
      <c r="BD35" s="7"/>
      <c r="BE35" s="12">
        <v>8</v>
      </c>
      <c r="BF35" s="12" t="s">
        <v>10</v>
      </c>
      <c r="BG35" s="12">
        <v>9</v>
      </c>
      <c r="BH35" s="8"/>
      <c r="BI35" s="9" t="s">
        <v>16</v>
      </c>
      <c r="BJ35" s="34">
        <f>INDEX(exported_results[asn_vol],MATCH(turn_ids!BJ35,exported_results[key],0))</f>
        <v>208.80656996149</v>
      </c>
      <c r="BK35" s="7"/>
      <c r="BL35" s="7"/>
      <c r="BM35" s="20" t="s">
        <v>15</v>
      </c>
      <c r="BN35" s="30">
        <f>BM34-BO34</f>
        <v>1116.1344455613444</v>
      </c>
    </row>
    <row r="36" spans="2:67" x14ac:dyDescent="0.25">
      <c r="B36" s="14">
        <v>508</v>
      </c>
      <c r="C36" s="13"/>
      <c r="D36" s="8"/>
      <c r="E36" s="8"/>
      <c r="F36" s="8"/>
      <c r="G36" s="8"/>
      <c r="H36" s="14">
        <v>224</v>
      </c>
      <c r="I36" s="8"/>
      <c r="J36" s="8"/>
      <c r="K36" s="8"/>
      <c r="L36" s="8"/>
      <c r="M36" s="8"/>
      <c r="N36" s="15"/>
      <c r="O36" s="13"/>
      <c r="P36" s="8"/>
      <c r="Q36" s="8"/>
      <c r="R36" s="8"/>
      <c r="S36" s="8"/>
      <c r="T36" s="14">
        <v>113</v>
      </c>
      <c r="U36" s="8"/>
      <c r="V36" s="8"/>
      <c r="W36" s="8"/>
      <c r="X36" s="8"/>
      <c r="Y36" s="8"/>
      <c r="Z36" s="15"/>
      <c r="AA36" s="13"/>
      <c r="AB36" s="8"/>
      <c r="AC36" s="8"/>
      <c r="AD36" s="8"/>
      <c r="AE36" s="8"/>
      <c r="AF36" s="14">
        <v>509</v>
      </c>
      <c r="AG36" s="8"/>
      <c r="AH36" s="8"/>
      <c r="AI36" s="8"/>
      <c r="AJ36" s="8"/>
      <c r="AK36" s="8"/>
      <c r="AL36" s="15"/>
      <c r="AM36" s="13"/>
      <c r="AN36" s="8"/>
      <c r="AO36" s="13"/>
      <c r="AP36" s="8"/>
      <c r="AQ36" s="8"/>
      <c r="AR36" s="8"/>
      <c r="AS36" s="8"/>
      <c r="AT36" s="14">
        <v>510</v>
      </c>
      <c r="AU36" s="8"/>
      <c r="AV36" s="8"/>
      <c r="AW36" s="8"/>
      <c r="AX36" s="8"/>
      <c r="AY36" s="8"/>
      <c r="AZ36" s="15"/>
      <c r="BA36" s="13"/>
      <c r="BB36" s="8"/>
      <c r="BC36" s="13"/>
      <c r="BD36" s="8"/>
      <c r="BE36" s="8"/>
      <c r="BF36" s="8"/>
      <c r="BG36" s="8"/>
      <c r="BH36" s="14">
        <v>511</v>
      </c>
      <c r="BI36" s="8"/>
      <c r="BJ36" s="8"/>
      <c r="BK36" s="8"/>
      <c r="BL36" s="8"/>
      <c r="BM36" s="8"/>
      <c r="BN36" s="15"/>
      <c r="BO36" s="14">
        <v>512</v>
      </c>
    </row>
    <row r="37" spans="2:67" x14ac:dyDescent="0.25">
      <c r="C37" s="21" t="s">
        <v>8</v>
      </c>
      <c r="D37" s="7"/>
      <c r="E37" s="7"/>
      <c r="F37" s="34">
        <f>INDEX(exported_results[asn_vol],MATCH(turn_ids!F37,exported_results[key],0))</f>
        <v>783.74273897267506</v>
      </c>
      <c r="G37" s="9" t="s">
        <v>8</v>
      </c>
      <c r="H37" s="23" t="s">
        <v>20</v>
      </c>
      <c r="I37" s="12"/>
      <c r="J37" s="12"/>
      <c r="K37" s="12"/>
      <c r="L37" s="7"/>
      <c r="M37" s="20" t="s">
        <v>8</v>
      </c>
      <c r="N37" s="30">
        <f>O38-M38</f>
        <v>9.9999999849842425E-3</v>
      </c>
      <c r="O37" s="21" t="s">
        <v>8</v>
      </c>
      <c r="P37" s="7"/>
      <c r="Q37" s="7"/>
      <c r="R37" s="34">
        <f>INDEX(exported_results[asn_vol],MATCH(turn_ids!R37,exported_results[key],0))</f>
        <v>85</v>
      </c>
      <c r="S37" s="9" t="s">
        <v>7</v>
      </c>
      <c r="T37" s="23" t="s">
        <v>19</v>
      </c>
      <c r="U37" s="12" t="s">
        <v>11</v>
      </c>
      <c r="V37" s="12" t="s">
        <v>13</v>
      </c>
      <c r="X37" s="7"/>
      <c r="Y37" s="20" t="s">
        <v>8</v>
      </c>
      <c r="Z37" s="30">
        <f>AA38-Y38</f>
        <v>1.0000000036143319E-2</v>
      </c>
      <c r="AA37" s="21" t="s">
        <v>8</v>
      </c>
      <c r="AB37" s="7"/>
      <c r="AC37" s="7"/>
      <c r="AD37" s="34">
        <f>INDEX(exported_results[asn_vol],MATCH(turn_ids!AD37,exported_results[key],0))</f>
        <v>42.5</v>
      </c>
      <c r="AE37" s="9" t="s">
        <v>7</v>
      </c>
      <c r="AF37" s="8"/>
      <c r="AG37" s="12" t="s">
        <v>11</v>
      </c>
      <c r="AH37" s="12" t="s">
        <v>12</v>
      </c>
      <c r="AI37" s="12" t="s">
        <v>13</v>
      </c>
      <c r="AJ37" s="7"/>
      <c r="AK37" s="20" t="s">
        <v>8</v>
      </c>
      <c r="AL37" s="30">
        <f>AM38-AK38</f>
        <v>1.0000000080026439E-2</v>
      </c>
      <c r="AM37" s="21" t="s">
        <v>8</v>
      </c>
      <c r="AN37" s="20"/>
      <c r="AO37" s="21"/>
      <c r="AP37" s="7"/>
      <c r="AQ37" s="7"/>
      <c r="AR37" s="34">
        <f>INDEX(exported_results[asn_vol],MATCH(turn_ids!AR37,exported_results[key],0))</f>
        <v>42.5</v>
      </c>
      <c r="AS37" s="9" t="s">
        <v>7</v>
      </c>
      <c r="AT37" s="8"/>
      <c r="AU37" s="12" t="s">
        <v>11</v>
      </c>
      <c r="AV37" s="12" t="s">
        <v>12</v>
      </c>
      <c r="AW37" s="12" t="s">
        <v>13</v>
      </c>
      <c r="AX37" s="7"/>
      <c r="AY37" s="20" t="s">
        <v>8</v>
      </c>
      <c r="AZ37" s="30">
        <f>BA38-AY38</f>
        <v>1.9536844292815658E-3</v>
      </c>
      <c r="BA37" s="21" t="s">
        <v>8</v>
      </c>
      <c r="BB37" s="20"/>
      <c r="BC37" s="21"/>
      <c r="BD37" s="7"/>
      <c r="BE37" s="7"/>
      <c r="BF37" s="34">
        <f>INDEX(exported_results[asn_vol],MATCH(turn_ids!BF37,exported_results[key],0))</f>
        <v>87.471627050432602</v>
      </c>
      <c r="BG37" s="9" t="s">
        <v>7</v>
      </c>
      <c r="BH37" s="8"/>
      <c r="BI37" s="12" t="s">
        <v>11</v>
      </c>
      <c r="BJ37" s="12" t="s">
        <v>12</v>
      </c>
      <c r="BK37" s="12" t="s">
        <v>13</v>
      </c>
      <c r="BL37" s="7"/>
      <c r="BM37" s="20" t="s">
        <v>8</v>
      </c>
      <c r="BN37" s="30">
        <f>BO38-BM38</f>
        <v>-1525.0439859758214</v>
      </c>
    </row>
    <row r="38" spans="2:67" x14ac:dyDescent="0.25">
      <c r="C38" s="6">
        <f>SUM(F37:F38)</f>
        <v>996.24273897267506</v>
      </c>
      <c r="D38" s="7"/>
      <c r="E38" s="7"/>
      <c r="F38" s="34">
        <f>INDEX(exported_results[asn_vol],MATCH(turn_ids!F38,exported_results[key],0))</f>
        <v>212.5</v>
      </c>
      <c r="G38" s="9" t="s">
        <v>9</v>
      </c>
      <c r="H38" s="23" t="s">
        <v>20</v>
      </c>
      <c r="I38" s="11"/>
      <c r="J38" s="11"/>
      <c r="K38" s="11"/>
      <c r="L38" s="7"/>
      <c r="M38" s="7">
        <f>SUM(G34,F37,K38)</f>
        <v>1251.2427389726749</v>
      </c>
      <c r="N38" s="10"/>
      <c r="O38" s="6">
        <f>SUM(R37:R39)</f>
        <v>1251.2527389726599</v>
      </c>
      <c r="P38" s="7"/>
      <c r="Q38" s="7"/>
      <c r="R38" s="34">
        <f>INDEX(exported_results[asn_vol],MATCH(turn_ids!R38,exported_results[key],0))</f>
        <v>1166.2527389726599</v>
      </c>
      <c r="S38" s="9" t="s">
        <v>8</v>
      </c>
      <c r="T38" s="23" t="s">
        <v>19</v>
      </c>
      <c r="U38" s="34">
        <f>INDEX(exported_results[asn_vol],MATCH(turn_ids!U38,exported_results[key],0))</f>
        <v>42.5</v>
      </c>
      <c r="V38" s="34">
        <f>INDEX(exported_results[asn_vol],MATCH(turn_ids!V38,exported_results[key],0))</f>
        <v>255</v>
      </c>
      <c r="X38" s="7"/>
      <c r="Y38" s="7">
        <f>SUM(S34,R38,V38)</f>
        <v>1421.2527389726599</v>
      </c>
      <c r="Z38" s="10"/>
      <c r="AA38" s="6">
        <f>SUM(AD37:AD39)</f>
        <v>1421.2627389726961</v>
      </c>
      <c r="AB38" s="7"/>
      <c r="AC38" s="7"/>
      <c r="AD38" s="34">
        <f>INDEX(exported_results[asn_vol],MATCH(turn_ids!AD38,exported_results[key],0))</f>
        <v>1270.9361218049801</v>
      </c>
      <c r="AE38" s="9" t="s">
        <v>8</v>
      </c>
      <c r="AF38" s="8"/>
      <c r="AG38" s="34">
        <f>INDEX(exported_results[asn_vol],MATCH(turn_ids!AG38,exported_results[key],0))</f>
        <v>57.499999999999901</v>
      </c>
      <c r="AH38" s="34">
        <f>INDEX(exported_results[asn_vol],MATCH(turn_ids!AH38,exported_results[key],0))</f>
        <v>968.75000000001</v>
      </c>
      <c r="AI38" s="34">
        <f>INDEX(exported_results[asn_vol],MATCH(turn_ids!AI38,exported_results[key],0))</f>
        <v>114.99999999999901</v>
      </c>
      <c r="AJ38" s="7"/>
      <c r="AK38" s="7">
        <f>SUM(AE34,AD38,AI38)</f>
        <v>1640.9361218049792</v>
      </c>
      <c r="AL38" s="10"/>
      <c r="AM38" s="6">
        <f>SUM(AR37:AR39)</f>
        <v>1640.9461218050592</v>
      </c>
      <c r="AN38" s="7"/>
      <c r="AO38" s="6"/>
      <c r="AP38" s="7"/>
      <c r="AQ38" s="7"/>
      <c r="AR38" s="34">
        <f>INDEX(exported_results[asn_vol],MATCH(turn_ids!AR38,exported_results[key],0))</f>
        <v>1483.4461218050601</v>
      </c>
      <c r="AS38" s="9" t="s">
        <v>8</v>
      </c>
      <c r="AT38" s="8"/>
      <c r="AU38" s="34">
        <f>INDEX(exported_results[asn_vol],MATCH(turn_ids!AU38,exported_results[key],0))</f>
        <v>42.5</v>
      </c>
      <c r="AV38" s="34">
        <f>INDEX(exported_results[asn_vol],MATCH(turn_ids!AV38,exported_results[key],0))</f>
        <v>765</v>
      </c>
      <c r="AW38" s="34">
        <f>INDEX(exported_results[asn_vol],MATCH(turn_ids!AW38,exported_results[key],0))</f>
        <v>114.99999999999901</v>
      </c>
      <c r="AX38" s="7"/>
      <c r="AY38" s="7">
        <f>SUM(AS34,AR38,AW38)</f>
        <v>1640.9461218050592</v>
      </c>
      <c r="AZ38" s="10"/>
      <c r="BA38" s="6">
        <f>SUM(BF37:BF39)</f>
        <v>1640.9480754894885</v>
      </c>
      <c r="BB38" s="7"/>
      <c r="BC38" s="6"/>
      <c r="BD38" s="7"/>
      <c r="BE38" s="7"/>
      <c r="BF38" s="34">
        <f>INDEX(exported_results[asn_vol],MATCH(turn_ids!BF38,exported_results[key],0))</f>
        <v>1224.97916683582</v>
      </c>
      <c r="BG38" s="9" t="s">
        <v>8</v>
      </c>
      <c r="BH38" s="8"/>
      <c r="BI38" s="34">
        <f>INDEX(exported_results[asn_vol],MATCH(turn_ids!BI38,exported_results[key],0))</f>
        <v>114.980877215704</v>
      </c>
      <c r="BJ38" s="34">
        <f>INDEX(exported_results[asn_vol],MATCH(turn_ids!BJ38,exported_results[key],0))</f>
        <v>1078.9993022251999</v>
      </c>
      <c r="BK38" s="34">
        <f>INDEX(exported_results[asn_vol],MATCH(turn_ids!BK38,exported_results[key],0))</f>
        <v>214.68257679416499</v>
      </c>
      <c r="BL38" s="7"/>
      <c r="BM38" s="7">
        <f>SUM(BG34,BF38,BK38)</f>
        <v>1525.0439859758214</v>
      </c>
      <c r="BN38" s="10"/>
    </row>
    <row r="39" spans="2:67" x14ac:dyDescent="0.25">
      <c r="C39" s="6"/>
      <c r="D39" s="7"/>
      <c r="E39" s="7"/>
      <c r="H39" s="23" t="s">
        <v>20</v>
      </c>
      <c r="I39" s="7"/>
      <c r="J39" s="7"/>
      <c r="K39" s="7"/>
      <c r="L39" s="7"/>
      <c r="M39" s="7"/>
      <c r="N39" s="10"/>
      <c r="O39" s="6"/>
      <c r="P39" s="7"/>
      <c r="Q39" s="7"/>
      <c r="R39" s="7"/>
      <c r="S39" s="9"/>
      <c r="T39" s="23" t="s">
        <v>19</v>
      </c>
      <c r="U39" s="7"/>
      <c r="V39" s="7"/>
      <c r="W39" s="7"/>
      <c r="X39" s="7"/>
      <c r="Y39" s="7"/>
      <c r="Z39" s="10"/>
      <c r="AA39" s="6"/>
      <c r="AB39" s="7"/>
      <c r="AC39" s="7"/>
      <c r="AD39" s="34">
        <f>INDEX(exported_results[asn_vol],MATCH(turn_ids!AD39,exported_results[key],0))</f>
        <v>107.82661716771599</v>
      </c>
      <c r="AE39" s="9" t="s">
        <v>9</v>
      </c>
      <c r="AF39" s="8"/>
      <c r="AG39" s="7"/>
      <c r="AH39" s="7"/>
      <c r="AI39" s="7"/>
      <c r="AJ39" s="7"/>
      <c r="AK39" s="7"/>
      <c r="AL39" s="10"/>
      <c r="AM39" s="6"/>
      <c r="AN39" s="7"/>
      <c r="AO39" s="6"/>
      <c r="AP39" s="7"/>
      <c r="AQ39" s="7"/>
      <c r="AR39" s="34">
        <f>INDEX(exported_results[asn_vol],MATCH(turn_ids!AR39,exported_results[key],0))</f>
        <v>114.99999999999901</v>
      </c>
      <c r="AS39" s="9" t="s">
        <v>9</v>
      </c>
      <c r="AT39" s="8"/>
      <c r="AU39" s="7"/>
      <c r="AV39" s="7"/>
      <c r="AW39" s="7"/>
      <c r="AX39" s="7"/>
      <c r="AY39" s="7"/>
      <c r="AZ39" s="10"/>
      <c r="BA39" s="6"/>
      <c r="BB39" s="7"/>
      <c r="BC39" s="6"/>
      <c r="BD39" s="7"/>
      <c r="BE39" s="7"/>
      <c r="BF39" s="34">
        <f>INDEX(exported_results[asn_vol],MATCH(turn_ids!BF39,exported_results[key],0))</f>
        <v>328.49728160323599</v>
      </c>
      <c r="BG39" s="9" t="s">
        <v>9</v>
      </c>
      <c r="BH39" s="8"/>
      <c r="BI39" s="7"/>
      <c r="BJ39" s="7"/>
      <c r="BK39" s="7"/>
      <c r="BL39" s="7"/>
      <c r="BM39" s="7"/>
      <c r="BN39" s="10"/>
    </row>
    <row r="40" spans="2:67" x14ac:dyDescent="0.25">
      <c r="C40" s="6"/>
      <c r="D40" s="7"/>
      <c r="E40" s="7"/>
      <c r="F40" s="7"/>
      <c r="G40" s="27">
        <v>890</v>
      </c>
      <c r="H40" s="23" t="s">
        <v>20</v>
      </c>
      <c r="I40" s="7"/>
      <c r="J40" s="7"/>
      <c r="K40" s="7"/>
      <c r="L40" s="7"/>
      <c r="M40" s="7"/>
      <c r="N40" s="10"/>
      <c r="O40" s="6"/>
      <c r="P40" s="7"/>
      <c r="Q40" s="7"/>
      <c r="R40" s="7"/>
      <c r="S40" s="7"/>
      <c r="T40" s="23" t="s">
        <v>19</v>
      </c>
      <c r="U40" s="27">
        <v>380</v>
      </c>
      <c r="V40" s="7"/>
      <c r="W40" s="7"/>
      <c r="X40" s="7"/>
      <c r="Y40" s="7"/>
      <c r="Z40" s="10"/>
      <c r="AA40" s="6"/>
      <c r="AB40" s="7"/>
      <c r="AC40" s="7"/>
      <c r="AD40" s="7"/>
      <c r="AE40" s="7"/>
      <c r="AF40" s="8"/>
      <c r="AG40" s="7"/>
      <c r="AH40" s="7"/>
      <c r="AI40" s="7"/>
      <c r="AJ40" s="7"/>
      <c r="AK40" s="7"/>
      <c r="AL40" s="10"/>
      <c r="AM40" s="6"/>
      <c r="AN40" s="7"/>
      <c r="AO40" s="6"/>
      <c r="AP40" s="7"/>
      <c r="AQ40" s="7"/>
      <c r="AR40" s="7"/>
      <c r="AS40" s="7"/>
      <c r="AT40" s="8"/>
      <c r="AU40" s="7"/>
      <c r="AV40" s="7"/>
      <c r="AW40" s="7"/>
      <c r="AX40" s="7"/>
      <c r="AY40" s="7"/>
      <c r="AZ40" s="10"/>
      <c r="BA40" s="6"/>
      <c r="BB40" s="7"/>
      <c r="BC40" s="6"/>
      <c r="BD40" s="7"/>
      <c r="BE40" s="7"/>
      <c r="BF40" s="7"/>
      <c r="BG40" s="7"/>
      <c r="BH40" s="8"/>
      <c r="BI40" s="7"/>
      <c r="BJ40" s="7"/>
      <c r="BK40" s="7"/>
      <c r="BL40" s="7"/>
      <c r="BM40" s="7"/>
      <c r="BN40" s="10"/>
    </row>
    <row r="41" spans="2:67" x14ac:dyDescent="0.25">
      <c r="C41" s="16"/>
      <c r="D41" s="17"/>
      <c r="E41" s="17"/>
      <c r="F41" s="17">
        <f>SUM(J35,F38)</f>
        <v>807.5</v>
      </c>
      <c r="G41" s="22" t="s">
        <v>10</v>
      </c>
      <c r="H41" s="14">
        <v>225</v>
      </c>
      <c r="I41" s="22"/>
      <c r="J41" s="17"/>
      <c r="K41" s="17"/>
      <c r="L41" s="17"/>
      <c r="M41" s="17"/>
      <c r="N41" s="19"/>
      <c r="O41" s="16"/>
      <c r="P41" s="17"/>
      <c r="Q41" s="17"/>
      <c r="R41" s="17"/>
      <c r="S41" s="22"/>
      <c r="T41" s="14">
        <v>112</v>
      </c>
      <c r="U41" s="22" t="s">
        <v>12</v>
      </c>
      <c r="V41" s="17">
        <f>SUM(U38:V38)</f>
        <v>297.5</v>
      </c>
      <c r="W41" s="17"/>
      <c r="X41" s="17"/>
      <c r="Y41" s="17"/>
      <c r="Z41" s="19"/>
      <c r="AA41" s="16"/>
      <c r="AB41" s="17"/>
      <c r="AC41" s="17"/>
      <c r="AD41" s="17">
        <f>SUM(AH35,AD34,AD39)</f>
        <v>1185.326617167716</v>
      </c>
      <c r="AE41" s="22" t="s">
        <v>10</v>
      </c>
      <c r="AF41" s="18"/>
      <c r="AG41" s="22" t="s">
        <v>12</v>
      </c>
      <c r="AH41" s="17">
        <f>SUM(AG38:AI38)</f>
        <v>1141.2500000000091</v>
      </c>
      <c r="AI41" s="17"/>
      <c r="AJ41" s="17"/>
      <c r="AK41" s="17"/>
      <c r="AL41" s="19"/>
      <c r="AM41" s="16"/>
      <c r="AN41" s="17"/>
      <c r="AO41" s="16"/>
      <c r="AP41" s="17"/>
      <c r="AQ41" s="17"/>
      <c r="AR41" s="17">
        <f>SUM(AV35,AR34,AR39)</f>
        <v>967.49999999999795</v>
      </c>
      <c r="AS41" s="22" t="s">
        <v>10</v>
      </c>
      <c r="AT41" s="18"/>
      <c r="AU41" s="22" t="s">
        <v>12</v>
      </c>
      <c r="AV41" s="17">
        <f>SUM(AU38:AW38)</f>
        <v>922.49999999999898</v>
      </c>
      <c r="AW41" s="17"/>
      <c r="AX41" s="17"/>
      <c r="AY41" s="17"/>
      <c r="AZ41" s="19"/>
      <c r="BA41" s="16"/>
      <c r="BB41" s="17"/>
      <c r="BC41" s="16"/>
      <c r="BD41" s="17"/>
      <c r="BE41" s="17"/>
      <c r="BF41" s="17">
        <f>SUM(BJ35,BF34,BF39)</f>
        <v>1328.753031814095</v>
      </c>
      <c r="BG41" s="22" t="s">
        <v>10</v>
      </c>
      <c r="BH41" s="18"/>
      <c r="BI41" s="22" t="s">
        <v>12</v>
      </c>
      <c r="BJ41" s="17">
        <f>SUM(BI38:BK38)</f>
        <v>1408.6627562350689</v>
      </c>
      <c r="BK41" s="17"/>
      <c r="BL41" s="17"/>
      <c r="BM41" s="17"/>
      <c r="BN41" s="19"/>
    </row>
    <row r="42" spans="2:67" x14ac:dyDescent="0.25">
      <c r="AA42" s="2"/>
      <c r="AB42" s="3"/>
      <c r="AC42" s="3"/>
      <c r="AD42" s="3"/>
      <c r="AE42" s="30">
        <f>AD43-AD41</f>
        <v>1.0000000034096956E-2</v>
      </c>
      <c r="AF42" s="4"/>
      <c r="AG42" s="30">
        <f>AH41-AH43</f>
        <v>-36.249999999989996</v>
      </c>
      <c r="AH42" s="3"/>
      <c r="AI42" s="3"/>
      <c r="AJ42" s="3"/>
      <c r="AK42" s="3"/>
      <c r="AL42" s="5"/>
      <c r="AM42" s="2"/>
      <c r="AN42" s="3"/>
      <c r="AO42" s="2"/>
      <c r="AP42" s="3"/>
      <c r="AQ42" s="3"/>
      <c r="AR42" s="3"/>
      <c r="AS42" s="30">
        <f>AR43-AR41</f>
        <v>22.499999999988404</v>
      </c>
      <c r="AT42" s="4"/>
      <c r="AU42" s="30">
        <f>AV41-AV43</f>
        <v>-12.500000000001023</v>
      </c>
      <c r="AV42" s="3"/>
      <c r="AW42" s="3"/>
      <c r="AX42" s="3"/>
      <c r="AY42" s="3"/>
      <c r="AZ42" s="5"/>
      <c r="BA42" s="2"/>
      <c r="BB42" s="3"/>
      <c r="BC42" s="2"/>
      <c r="BD42" s="3"/>
      <c r="BE42" s="3"/>
      <c r="BF42" s="3"/>
      <c r="BG42" s="30">
        <f>BF43-BF41</f>
        <v>9.9994653951398504E-3</v>
      </c>
      <c r="BH42" s="4"/>
      <c r="BI42" s="30">
        <f>BJ41-BJ43</f>
        <v>-9.9994654060537869E-3</v>
      </c>
      <c r="BJ42" s="3"/>
      <c r="BK42" s="3"/>
      <c r="BL42" s="3"/>
      <c r="BM42" s="3"/>
      <c r="BN42" s="5"/>
    </row>
    <row r="43" spans="2:67" x14ac:dyDescent="0.25">
      <c r="AA43" s="6"/>
      <c r="AB43" s="7"/>
      <c r="AC43" s="7"/>
      <c r="AD43" s="7">
        <f>SUM(AC48:AE48)</f>
        <v>1185.3366171677501</v>
      </c>
      <c r="AE43" s="12" t="s">
        <v>10</v>
      </c>
      <c r="AF43" s="8"/>
      <c r="AG43" s="12" t="s">
        <v>12</v>
      </c>
      <c r="AH43" s="7">
        <f>SUM(AD51,AH52,AH47)</f>
        <v>1177.4999999999991</v>
      </c>
      <c r="AI43" s="7"/>
      <c r="AJ43" s="7"/>
      <c r="AK43" s="7"/>
      <c r="AL43" s="10"/>
      <c r="AM43" s="6"/>
      <c r="AN43" s="7"/>
      <c r="AO43" s="6"/>
      <c r="AP43" s="7"/>
      <c r="AQ43" s="7"/>
      <c r="AR43" s="7">
        <f>SUM(AQ48:AS48)</f>
        <v>989.99999999998636</v>
      </c>
      <c r="AS43" s="12" t="s">
        <v>10</v>
      </c>
      <c r="AT43" s="8"/>
      <c r="AU43" s="12" t="s">
        <v>12</v>
      </c>
      <c r="AV43" s="7">
        <f>SUM(AR51,AV52,AV47)</f>
        <v>935</v>
      </c>
      <c r="AW43" s="7"/>
      <c r="AX43" s="7"/>
      <c r="AY43" s="7"/>
      <c r="AZ43" s="10"/>
      <c r="BA43" s="6"/>
      <c r="BB43" s="7"/>
      <c r="BC43" s="6"/>
      <c r="BD43" s="7"/>
      <c r="BE43" s="7"/>
      <c r="BF43" s="7">
        <f>SUM(BE48:BG48)</f>
        <v>1328.7630312794902</v>
      </c>
      <c r="BG43" s="12" t="s">
        <v>10</v>
      </c>
      <c r="BH43" s="8"/>
      <c r="BI43" s="12" t="s">
        <v>12</v>
      </c>
      <c r="BJ43" s="7">
        <f>SUM(BF51,BJ52,BJ47)</f>
        <v>1408.6727557004749</v>
      </c>
      <c r="BK43" s="7"/>
      <c r="BL43" s="7"/>
      <c r="BM43" s="7"/>
      <c r="BN43" s="10"/>
    </row>
    <row r="44" spans="2:67" x14ac:dyDescent="0.25">
      <c r="C44" s="2"/>
      <c r="D44" s="3"/>
      <c r="E44" s="3"/>
      <c r="F44" s="3"/>
      <c r="G44" s="3">
        <f>F45-F43</f>
        <v>127.5</v>
      </c>
      <c r="H44" s="14">
        <v>226</v>
      </c>
      <c r="I44" s="3"/>
      <c r="J44" s="3"/>
      <c r="K44" s="3"/>
      <c r="L44" s="3"/>
      <c r="M44" s="3"/>
      <c r="N44" s="5"/>
      <c r="O44" s="2"/>
      <c r="P44" s="3"/>
      <c r="Q44" s="3"/>
      <c r="R44" s="3"/>
      <c r="S44" s="3"/>
      <c r="T44" s="14">
        <v>111</v>
      </c>
      <c r="U44" s="3">
        <f>V43-V45</f>
        <v>-467.5</v>
      </c>
      <c r="V44" s="3"/>
      <c r="W44" s="3"/>
      <c r="X44" s="3"/>
      <c r="Y44" s="3"/>
      <c r="Z44" s="5"/>
      <c r="AA44" s="6"/>
      <c r="AB44" s="7"/>
      <c r="AC44" s="7"/>
      <c r="AD44" s="7"/>
      <c r="AE44" s="12"/>
      <c r="AF44" s="8"/>
      <c r="AG44" s="12"/>
      <c r="AH44" s="7"/>
      <c r="AI44" s="7"/>
      <c r="AJ44" s="7"/>
      <c r="AK44" s="7"/>
      <c r="AL44" s="10"/>
      <c r="AM44" s="6"/>
      <c r="AN44" s="7"/>
      <c r="AO44" s="6"/>
      <c r="AP44" s="7"/>
      <c r="AQ44" s="7"/>
      <c r="AR44" s="7"/>
      <c r="AS44" s="12"/>
      <c r="AT44" s="8"/>
      <c r="AU44" s="12"/>
      <c r="AV44" s="7"/>
      <c r="AW44" s="7"/>
      <c r="AX44" s="7"/>
      <c r="AY44" s="7"/>
      <c r="AZ44" s="10"/>
      <c r="BA44" s="6"/>
      <c r="BB44" s="7"/>
      <c r="BC44" s="6"/>
      <c r="BD44" s="7"/>
      <c r="BE44" s="7"/>
      <c r="BF44" s="7"/>
      <c r="BG44" s="12"/>
      <c r="BH44" s="8"/>
      <c r="BI44" s="12"/>
      <c r="BJ44" s="7"/>
      <c r="BK44" s="7"/>
      <c r="BL44" s="7"/>
      <c r="BM44" s="7"/>
      <c r="BN44" s="10"/>
    </row>
    <row r="45" spans="2:67" x14ac:dyDescent="0.25">
      <c r="C45" s="6"/>
      <c r="D45" s="7"/>
      <c r="E45" s="7"/>
      <c r="F45" s="7">
        <f>SUM(F48:G48)</f>
        <v>127.5</v>
      </c>
      <c r="G45" s="12" t="s">
        <v>10</v>
      </c>
      <c r="H45" s="23" t="s">
        <v>20</v>
      </c>
      <c r="I45" s="12"/>
      <c r="J45" s="7"/>
      <c r="K45" s="7"/>
      <c r="L45" s="7"/>
      <c r="M45" s="7"/>
      <c r="N45" s="10"/>
      <c r="O45" s="6"/>
      <c r="P45" s="7"/>
      <c r="Q45" s="7"/>
      <c r="R45" s="7"/>
      <c r="S45" s="12"/>
      <c r="T45" s="23" t="s">
        <v>19</v>
      </c>
      <c r="U45" s="12" t="s">
        <v>12</v>
      </c>
      <c r="V45" s="7">
        <f>SUM(R51,V48)</f>
        <v>467.5</v>
      </c>
      <c r="W45" s="7"/>
      <c r="X45" s="7"/>
      <c r="Y45" s="7"/>
      <c r="Z45" s="10"/>
      <c r="AA45" s="6"/>
      <c r="AB45" s="7"/>
      <c r="AC45" s="7"/>
      <c r="AD45" s="7"/>
      <c r="AE45" s="12"/>
      <c r="AF45" s="8"/>
      <c r="AG45" s="12"/>
      <c r="AH45" s="7"/>
      <c r="AI45" s="7"/>
      <c r="AJ45" s="7"/>
      <c r="AK45" s="7"/>
      <c r="AL45" s="10"/>
      <c r="AM45" s="6"/>
      <c r="AN45" s="7"/>
      <c r="AO45" s="6"/>
      <c r="AP45" s="7"/>
      <c r="AQ45" s="7"/>
      <c r="AR45" s="7"/>
      <c r="AS45" s="12"/>
      <c r="AT45" s="8"/>
      <c r="AU45" s="12"/>
      <c r="AV45" s="7"/>
      <c r="AW45" s="7"/>
      <c r="AX45" s="7"/>
      <c r="AY45" s="7"/>
      <c r="AZ45" s="10"/>
      <c r="BA45" s="6"/>
      <c r="BB45" s="7"/>
      <c r="BC45" s="6"/>
      <c r="BD45" s="7"/>
      <c r="BE45" s="7"/>
      <c r="BF45" s="7"/>
      <c r="BG45" s="12"/>
      <c r="BH45" s="8"/>
      <c r="BI45" s="12"/>
      <c r="BJ45" s="7"/>
      <c r="BK45" s="7"/>
      <c r="BL45" s="7"/>
      <c r="BM45" s="7"/>
      <c r="BN45" s="10"/>
    </row>
    <row r="46" spans="2:67" x14ac:dyDescent="0.25">
      <c r="C46" s="6"/>
      <c r="D46" s="7"/>
      <c r="E46" s="7"/>
      <c r="F46" s="7"/>
      <c r="G46" s="27">
        <v>180</v>
      </c>
      <c r="H46" s="23" t="s">
        <v>20</v>
      </c>
      <c r="I46" s="7"/>
      <c r="J46" s="7"/>
      <c r="K46" s="7"/>
      <c r="L46" s="7"/>
      <c r="M46" s="7"/>
      <c r="N46" s="10"/>
      <c r="O46" s="6"/>
      <c r="P46" s="7"/>
      <c r="Q46" s="7"/>
      <c r="R46" s="7"/>
      <c r="S46" s="7"/>
      <c r="T46" s="23" t="s">
        <v>19</v>
      </c>
      <c r="U46" s="27">
        <v>410</v>
      </c>
      <c r="V46" s="7"/>
      <c r="W46" s="7"/>
      <c r="X46" s="7"/>
      <c r="Y46" s="31">
        <v>1325.0049999999801</v>
      </c>
      <c r="Z46" s="10"/>
      <c r="AA46" s="6"/>
      <c r="AB46" s="7"/>
      <c r="AC46" s="7"/>
      <c r="AD46" s="7"/>
      <c r="AE46" s="7"/>
      <c r="AF46" s="8"/>
      <c r="AG46" s="7"/>
      <c r="AH46" s="7"/>
      <c r="AI46" s="7"/>
      <c r="AJ46" s="7"/>
      <c r="AK46" s="7"/>
      <c r="AL46" s="10"/>
      <c r="AM46" s="6"/>
      <c r="AN46" s="7"/>
      <c r="AO46" s="6"/>
      <c r="AP46" s="7"/>
      <c r="AQ46" s="7"/>
      <c r="AR46" s="7"/>
      <c r="AS46" s="7"/>
      <c r="AT46" s="8"/>
      <c r="AU46" s="7"/>
      <c r="AV46" s="7"/>
      <c r="AW46" s="7"/>
      <c r="AX46" s="7"/>
      <c r="AY46" s="7"/>
      <c r="AZ46" s="10"/>
      <c r="BA46" s="6"/>
      <c r="BB46" s="7"/>
      <c r="BC46" s="6"/>
      <c r="BD46" s="7"/>
      <c r="BE46" s="7"/>
      <c r="BF46" s="7"/>
      <c r="BG46" s="7"/>
      <c r="BH46" s="8"/>
      <c r="BI46" s="7"/>
      <c r="BJ46" s="7"/>
      <c r="BK46" s="7"/>
      <c r="BL46" s="7"/>
      <c r="BM46" s="7"/>
      <c r="BN46" s="10"/>
    </row>
    <row r="47" spans="2:67" x14ac:dyDescent="0.25">
      <c r="C47" s="6"/>
      <c r="D47" s="7"/>
      <c r="E47" s="7"/>
      <c r="F47" s="7"/>
      <c r="G47" s="7"/>
      <c r="H47" s="23" t="s">
        <v>20</v>
      </c>
      <c r="I47" s="9"/>
      <c r="J47" s="7"/>
      <c r="K47" s="7"/>
      <c r="L47" s="7"/>
      <c r="M47" s="7"/>
      <c r="N47" s="10"/>
      <c r="O47" s="6"/>
      <c r="P47" s="7"/>
      <c r="Q47" s="7"/>
      <c r="R47" s="7"/>
      <c r="S47" s="7"/>
      <c r="T47" s="23" t="s">
        <v>19</v>
      </c>
      <c r="W47" s="7"/>
      <c r="X47" s="7"/>
      <c r="Y47" s="7"/>
      <c r="Z47" s="10"/>
      <c r="AA47" s="6"/>
      <c r="AB47" s="7"/>
      <c r="AC47" s="7"/>
      <c r="AD47" s="7"/>
      <c r="AE47" s="7"/>
      <c r="AF47" s="8"/>
      <c r="AG47" s="9" t="s">
        <v>14</v>
      </c>
      <c r="AH47" s="35">
        <f>INDEX(exported_results[asn_vol],MATCH(turn_ids!AH47,exported_results[key],0))</f>
        <v>114.99999999999901</v>
      </c>
      <c r="AI47" s="7"/>
      <c r="AJ47" s="7"/>
      <c r="AK47" s="7"/>
      <c r="AL47" s="10"/>
      <c r="AM47" s="6"/>
      <c r="AN47" s="7"/>
      <c r="AO47" s="6"/>
      <c r="AP47" s="7"/>
      <c r="AQ47" s="7"/>
      <c r="AR47" s="7"/>
      <c r="AS47" s="7"/>
      <c r="AT47" s="8"/>
      <c r="AU47" s="9" t="s">
        <v>14</v>
      </c>
      <c r="AV47" s="34">
        <f>INDEX(exported_results[asn_vol],MATCH(turn_ids!AV47,exported_results[key],0))</f>
        <v>170</v>
      </c>
      <c r="AW47" s="7"/>
      <c r="AX47" s="7"/>
      <c r="AY47" s="7"/>
      <c r="AZ47" s="10"/>
      <c r="BA47" s="6"/>
      <c r="BB47" s="7"/>
      <c r="BC47" s="6"/>
      <c r="BD47" s="7"/>
      <c r="BE47" s="7"/>
      <c r="BF47" s="7"/>
      <c r="BG47" s="7"/>
      <c r="BH47" s="8"/>
      <c r="BI47" s="9" t="s">
        <v>14</v>
      </c>
      <c r="BJ47" s="34">
        <f>INDEX(exported_results[asn_vol],MATCH(turn_ids!BJ47,exported_results[key],0))</f>
        <v>235.280021815461</v>
      </c>
      <c r="BK47" s="7"/>
      <c r="BL47" s="7"/>
      <c r="BM47" s="7"/>
      <c r="BN47" s="10"/>
    </row>
    <row r="48" spans="2:67" x14ac:dyDescent="0.25">
      <c r="C48" s="6">
        <f>SUM(I52,J48,F48)</f>
        <v>965.00273396577904</v>
      </c>
      <c r="D48" s="7"/>
      <c r="F48" s="34">
        <f>INDEX(exported_results[asn_vol],MATCH(turn_ids!F48,exported_results[key],0))</f>
        <v>42.5</v>
      </c>
      <c r="G48" s="34">
        <f>INDEX(exported_results[asn_vol],MATCH(turn_ids!G48,exported_results[key],0))</f>
        <v>85</v>
      </c>
      <c r="H48" s="23" t="s">
        <v>20</v>
      </c>
      <c r="I48" s="9" t="s">
        <v>15</v>
      </c>
      <c r="J48" s="34">
        <f>INDEX(exported_results[asn_vol],MATCH(turn_ids!J48,exported_results[key],0))</f>
        <v>922.50273396577904</v>
      </c>
      <c r="K48" s="7"/>
      <c r="L48" s="7"/>
      <c r="M48" s="7">
        <f>SUM(J47:J49)</f>
        <v>1432.502733965779</v>
      </c>
      <c r="N48" s="10"/>
      <c r="O48" s="6">
        <f>SUM(U52,V49,Q48)</f>
        <v>1432.49999999999</v>
      </c>
      <c r="P48" s="7"/>
      <c r="Q48" s="11"/>
      <c r="R48" s="11"/>
      <c r="S48" s="11"/>
      <c r="T48" s="23" t="s">
        <v>19</v>
      </c>
      <c r="U48" s="9" t="s">
        <v>14</v>
      </c>
      <c r="V48" s="35">
        <f>INDEX(exported_results[asn_vol],MATCH(turn_ids!V48,exported_results[key],0))</f>
        <v>212.5</v>
      </c>
      <c r="W48" s="7"/>
      <c r="X48" s="7"/>
      <c r="Y48" s="7">
        <f>SUM(V48:V49)</f>
        <v>1304.99999999999</v>
      </c>
      <c r="Z48" s="10"/>
      <c r="AA48" s="6">
        <f>SUM(AG52,AH48,AC48)</f>
        <v>1344.9999999999879</v>
      </c>
      <c r="AB48" s="7"/>
      <c r="AC48" s="34">
        <f>INDEX(exported_results[asn_vol],MATCH(turn_ids!AC48,exported_results[key],0))</f>
        <v>85</v>
      </c>
      <c r="AD48" s="34">
        <f>INDEX(exported_results[asn_vol],MATCH(turn_ids!AD48,exported_results[key],0))</f>
        <v>1042.8366171677501</v>
      </c>
      <c r="AE48" s="34">
        <f>INDEX(exported_results[asn_vol],MATCH(turn_ids!AE48,exported_results[key],0))</f>
        <v>57.499999999999901</v>
      </c>
      <c r="AF48" s="8"/>
      <c r="AG48" s="9" t="s">
        <v>15</v>
      </c>
      <c r="AH48" s="35">
        <f>INDEX(exported_results[asn_vol],MATCH(turn_ids!AH48,exported_results[key],0))</f>
        <v>834.99999999998795</v>
      </c>
      <c r="AI48" s="7"/>
      <c r="AJ48" s="7"/>
      <c r="AK48" s="7">
        <f>SUM(AH47:AH49)</f>
        <v>1064.9999999999859</v>
      </c>
      <c r="AL48" s="10"/>
      <c r="AM48" s="6">
        <f>SUM(AU52,AV48,AQ48)</f>
        <v>1105</v>
      </c>
      <c r="AN48" s="7"/>
      <c r="AO48" s="6"/>
      <c r="AP48" s="7"/>
      <c r="AQ48" s="34">
        <f>INDEX(exported_results[asn_vol],MATCH(turn_ids!AQ48,exported_results[key],0))</f>
        <v>85</v>
      </c>
      <c r="AR48" s="34">
        <f>INDEX(exported_results[asn_vol],MATCH(turn_ids!AR48,exported_results[key],0))</f>
        <v>850</v>
      </c>
      <c r="AS48" s="34">
        <f>INDEX(exported_results[asn_vol],MATCH(turn_ids!AS48,exported_results[key],0))</f>
        <v>54.999999999986301</v>
      </c>
      <c r="AT48" s="8"/>
      <c r="AU48" s="9" t="s">
        <v>15</v>
      </c>
      <c r="AV48" s="34">
        <f>INDEX(exported_results[asn_vol],MATCH(turn_ids!AV48,exported_results[key],0))</f>
        <v>935</v>
      </c>
      <c r="AW48" s="7"/>
      <c r="AX48" s="7"/>
      <c r="AY48" s="7">
        <f>SUM(AV47:AV49)</f>
        <v>1162.499931508582</v>
      </c>
      <c r="AZ48" s="10"/>
      <c r="BA48" s="6">
        <f>SUM(BI52,BJ48,BE48)</f>
        <v>1162.509931508587</v>
      </c>
      <c r="BB48" s="7"/>
      <c r="BC48" s="6"/>
      <c r="BD48" s="7"/>
      <c r="BE48" s="34">
        <f>INDEX(exported_results[asn_vol],MATCH(turn_ids!BE48,exported_results[key],0))</f>
        <v>131.25881228769799</v>
      </c>
      <c r="BF48" s="34">
        <f>INDEX(exported_results[asn_vol],MATCH(turn_ids!BF48,exported_results[key],0))</f>
        <v>1154.9565618305901</v>
      </c>
      <c r="BG48" s="34">
        <f>INDEX(exported_results[asn_vol],MATCH(turn_ids!BG48,exported_results[key],0))</f>
        <v>42.547657161202103</v>
      </c>
      <c r="BH48" s="8"/>
      <c r="BI48" s="9" t="s">
        <v>15</v>
      </c>
      <c r="BJ48" s="34">
        <f>INDEX(exported_results[asn_vol],MATCH(turn_ids!BJ48,exported_results[key],0))</f>
        <v>790.22192413090397</v>
      </c>
      <c r="BK48" s="7"/>
      <c r="BL48" s="7"/>
      <c r="BM48" s="7">
        <f>SUM(BJ47:BJ49)</f>
        <v>1275.4021342687308</v>
      </c>
      <c r="BN48" s="10"/>
    </row>
    <row r="49" spans="2:67" x14ac:dyDescent="0.25">
      <c r="C49" s="21" t="s">
        <v>15</v>
      </c>
      <c r="D49" s="7"/>
      <c r="F49" s="12">
        <v>8</v>
      </c>
      <c r="G49" s="12">
        <v>9</v>
      </c>
      <c r="H49" s="23" t="s">
        <v>20</v>
      </c>
      <c r="I49" s="9" t="s">
        <v>16</v>
      </c>
      <c r="J49" s="34">
        <f>INDEX(exported_results[asn_vol],MATCH(turn_ids!J49,exported_results[key],0))</f>
        <v>510</v>
      </c>
      <c r="K49" s="7"/>
      <c r="L49" s="7"/>
      <c r="M49" s="20" t="s">
        <v>15</v>
      </c>
      <c r="N49" s="30">
        <f>M48-O48</f>
        <v>2.733965789047943E-3</v>
      </c>
      <c r="O49" s="21" t="s">
        <v>15</v>
      </c>
      <c r="P49" s="7"/>
      <c r="Q49" s="12"/>
      <c r="R49" s="12"/>
      <c r="S49" s="12"/>
      <c r="T49" s="23" t="s">
        <v>19</v>
      </c>
      <c r="U49" s="9" t="s">
        <v>15</v>
      </c>
      <c r="V49" s="35">
        <f>INDEX(exported_results[asn_vol],MATCH(turn_ids!V49,exported_results[key],0))</f>
        <v>1092.49999999999</v>
      </c>
      <c r="W49" s="7"/>
      <c r="X49" s="7"/>
      <c r="Y49" s="20" t="s">
        <v>15</v>
      </c>
      <c r="Z49" s="30">
        <f>Y48-AA48</f>
        <v>-39.999999999997954</v>
      </c>
      <c r="AA49" s="21" t="s">
        <v>15</v>
      </c>
      <c r="AB49" s="7"/>
      <c r="AC49" s="12">
        <v>8</v>
      </c>
      <c r="AD49" s="12" t="s">
        <v>10</v>
      </c>
      <c r="AE49" s="12">
        <v>9</v>
      </c>
      <c r="AF49" s="8"/>
      <c r="AG49" s="9" t="s">
        <v>16</v>
      </c>
      <c r="AH49" s="35">
        <f>INDEX(exported_results[asn_vol],MATCH(turn_ids!AH49,exported_results[key],0))</f>
        <v>114.99999999999901</v>
      </c>
      <c r="AI49" s="7"/>
      <c r="AJ49" s="7"/>
      <c r="AK49" s="20" t="s">
        <v>15</v>
      </c>
      <c r="AL49" s="30">
        <f>AK48-AM48</f>
        <v>-40.000000000014097</v>
      </c>
      <c r="AM49" s="21" t="s">
        <v>15</v>
      </c>
      <c r="AN49" s="20"/>
      <c r="AO49" s="21"/>
      <c r="AP49" s="7"/>
      <c r="AQ49" s="12">
        <v>8</v>
      </c>
      <c r="AR49" s="12" t="s">
        <v>10</v>
      </c>
      <c r="AS49" s="12">
        <v>9</v>
      </c>
      <c r="AT49" s="8"/>
      <c r="AU49" s="9" t="s">
        <v>16</v>
      </c>
      <c r="AV49" s="34">
        <f>INDEX(exported_results[asn_vol],MATCH(turn_ids!AV49,exported_results[key],0))</f>
        <v>57.499931508582101</v>
      </c>
      <c r="AW49" s="7"/>
      <c r="AX49" s="7"/>
      <c r="AY49" s="20" t="s">
        <v>15</v>
      </c>
      <c r="AZ49" s="30">
        <f>AY48-BA48</f>
        <v>-1.0000000004993126E-2</v>
      </c>
      <c r="BA49" s="21" t="s">
        <v>15</v>
      </c>
      <c r="BB49" s="20"/>
      <c r="BC49" s="21"/>
      <c r="BD49" s="7"/>
      <c r="BE49" s="12">
        <v>8</v>
      </c>
      <c r="BF49" s="12" t="s">
        <v>10</v>
      </c>
      <c r="BG49" s="12">
        <v>9</v>
      </c>
      <c r="BH49" s="8"/>
      <c r="BI49" s="9" t="s">
        <v>16</v>
      </c>
      <c r="BJ49" s="34">
        <f>INDEX(exported_results[asn_vol],MATCH(turn_ids!BJ49,exported_results[key],0))</f>
        <v>249.90018832236601</v>
      </c>
      <c r="BK49" s="7"/>
      <c r="BL49" s="7"/>
      <c r="BM49" s="20" t="s">
        <v>15</v>
      </c>
      <c r="BN49" s="30">
        <f>BM48-BO48</f>
        <v>1275.4021342687308</v>
      </c>
    </row>
    <row r="50" spans="2:67" x14ac:dyDescent="0.25">
      <c r="B50" s="14">
        <v>503</v>
      </c>
      <c r="C50" s="13"/>
      <c r="D50" s="8"/>
      <c r="E50" s="8"/>
      <c r="F50" s="8"/>
      <c r="G50" s="8"/>
      <c r="H50" s="14">
        <v>227</v>
      </c>
      <c r="I50" s="8"/>
      <c r="J50" s="8"/>
      <c r="K50" s="8"/>
      <c r="L50" s="8"/>
      <c r="M50" s="8"/>
      <c r="N50" s="15"/>
      <c r="O50" s="13"/>
      <c r="P50" s="8"/>
      <c r="Q50" s="8"/>
      <c r="R50" s="8"/>
      <c r="S50" s="8"/>
      <c r="T50" s="14">
        <v>110</v>
      </c>
      <c r="U50" s="8"/>
      <c r="V50" s="8"/>
      <c r="W50" s="8"/>
      <c r="X50" s="8"/>
      <c r="Y50" s="8"/>
      <c r="Z50" s="15"/>
      <c r="AA50" s="13"/>
      <c r="AB50" s="8"/>
      <c r="AC50" s="8"/>
      <c r="AD50" s="8"/>
      <c r="AE50" s="8"/>
      <c r="AF50" s="14">
        <v>504</v>
      </c>
      <c r="AG50" s="8"/>
      <c r="AH50" s="8"/>
      <c r="AI50" s="8"/>
      <c r="AJ50" s="8"/>
      <c r="AK50" s="8"/>
      <c r="AL50" s="15"/>
      <c r="AM50" s="13"/>
      <c r="AN50" s="8"/>
      <c r="AO50" s="13"/>
      <c r="AP50" s="8"/>
      <c r="AQ50" s="8"/>
      <c r="AR50" s="8"/>
      <c r="AS50" s="8"/>
      <c r="AT50" s="14">
        <v>505</v>
      </c>
      <c r="AU50" s="8"/>
      <c r="AV50" s="8"/>
      <c r="AW50" s="8"/>
      <c r="AX50" s="8"/>
      <c r="AY50" s="8"/>
      <c r="AZ50" s="15"/>
      <c r="BA50" s="13"/>
      <c r="BB50" s="8"/>
      <c r="BC50" s="13"/>
      <c r="BD50" s="8"/>
      <c r="BE50" s="8"/>
      <c r="BF50" s="8"/>
      <c r="BG50" s="8"/>
      <c r="BH50" s="14">
        <v>506</v>
      </c>
      <c r="BI50" s="8"/>
      <c r="BJ50" s="8"/>
      <c r="BK50" s="8"/>
      <c r="BL50" s="8"/>
      <c r="BM50" s="8"/>
      <c r="BN50" s="15"/>
      <c r="BO50" s="14">
        <v>507</v>
      </c>
    </row>
    <row r="51" spans="2:67" x14ac:dyDescent="0.25">
      <c r="C51" s="21" t="s">
        <v>8</v>
      </c>
      <c r="D51" s="7"/>
      <c r="E51" s="7"/>
      <c r="F51" s="34">
        <f>INDEX(exported_results[asn_vol],MATCH(turn_ids!F51,exported_results[key],0))</f>
        <v>917.50273396538103</v>
      </c>
      <c r="G51" s="9" t="s">
        <v>8</v>
      </c>
      <c r="H51" s="23" t="s">
        <v>20</v>
      </c>
      <c r="I51" s="12"/>
      <c r="J51" s="12"/>
      <c r="K51" s="12"/>
      <c r="L51" s="7"/>
      <c r="M51" s="20" t="s">
        <v>8</v>
      </c>
      <c r="N51" s="30">
        <f>O52-M52</f>
        <v>-2.7339653820490639E-3</v>
      </c>
      <c r="O51" s="21" t="s">
        <v>8</v>
      </c>
      <c r="P51" s="7"/>
      <c r="Q51" s="7"/>
      <c r="R51" s="34">
        <f>INDEX(exported_results[asn_vol],MATCH(turn_ids!R51,exported_results[key],0))</f>
        <v>255</v>
      </c>
      <c r="S51" s="9" t="s">
        <v>7</v>
      </c>
      <c r="T51" s="23" t="s">
        <v>19</v>
      </c>
      <c r="U51" s="12" t="s">
        <v>11</v>
      </c>
      <c r="V51" s="12" t="s">
        <v>13</v>
      </c>
      <c r="X51" s="7"/>
      <c r="Y51" s="20" t="s">
        <v>8</v>
      </c>
      <c r="Z51" s="30">
        <f>AA52-Y52</f>
        <v>22.499999999993861</v>
      </c>
      <c r="AA51" s="21" t="s">
        <v>8</v>
      </c>
      <c r="AB51" s="7"/>
      <c r="AC51" s="7"/>
      <c r="AD51" s="34">
        <f>INDEX(exported_results[asn_vol],MATCH(turn_ids!AD51,exported_results[key],0))</f>
        <v>212.5</v>
      </c>
      <c r="AE51" s="9" t="s">
        <v>7</v>
      </c>
      <c r="AF51" s="8"/>
      <c r="AG51" s="12" t="s">
        <v>11</v>
      </c>
      <c r="AH51" s="12" t="s">
        <v>12</v>
      </c>
      <c r="AI51" s="12" t="s">
        <v>13</v>
      </c>
      <c r="AJ51" s="7"/>
      <c r="AK51" s="20" t="s">
        <v>8</v>
      </c>
      <c r="AL51" s="30">
        <f>AM52-AK52</f>
        <v>22.50000000003115</v>
      </c>
      <c r="AM51" s="21" t="s">
        <v>8</v>
      </c>
      <c r="AN51" s="20"/>
      <c r="AO51" s="21"/>
      <c r="AP51" s="7"/>
      <c r="AQ51" s="7"/>
      <c r="AR51" s="34">
        <f>INDEX(exported_results[asn_vol],MATCH(turn_ids!AR51,exported_results[key],0))</f>
        <v>85</v>
      </c>
      <c r="AS51" s="9" t="s">
        <v>7</v>
      </c>
      <c r="AT51" s="8"/>
      <c r="AU51" s="12" t="s">
        <v>11</v>
      </c>
      <c r="AV51" s="12" t="s">
        <v>12</v>
      </c>
      <c r="AW51" s="12" t="s">
        <v>13</v>
      </c>
      <c r="AX51" s="7"/>
      <c r="AY51" s="20" t="s">
        <v>8</v>
      </c>
      <c r="AZ51" s="30">
        <f>BA52-AY52</f>
        <v>22.499999999991587</v>
      </c>
      <c r="BA51" s="21" t="s">
        <v>8</v>
      </c>
      <c r="BB51" s="20"/>
      <c r="BC51" s="21"/>
      <c r="BD51" s="7"/>
      <c r="BE51" s="7"/>
      <c r="BF51" s="34">
        <f>INDEX(exported_results[asn_vol],MATCH(turn_ids!BF51,exported_results[key],0))</f>
        <v>212.5</v>
      </c>
      <c r="BG51" s="9" t="s">
        <v>7</v>
      </c>
      <c r="BH51" s="8"/>
      <c r="BI51" s="12" t="s">
        <v>11</v>
      </c>
      <c r="BJ51" s="12" t="s">
        <v>12</v>
      </c>
      <c r="BK51" s="12" t="s">
        <v>13</v>
      </c>
      <c r="BL51" s="7"/>
      <c r="BM51" s="20" t="s">
        <v>8</v>
      </c>
      <c r="BN51" s="30">
        <f>BO52-BM52</f>
        <v>-1092.9231656997422</v>
      </c>
    </row>
    <row r="52" spans="2:67" x14ac:dyDescent="0.25">
      <c r="C52" s="6">
        <f>SUM(F51:F52)</f>
        <v>1087.5027339653811</v>
      </c>
      <c r="D52" s="7"/>
      <c r="E52" s="7"/>
      <c r="F52" s="34">
        <f>INDEX(exported_results[asn_vol],MATCH(turn_ids!F52,exported_results[key],0))</f>
        <v>170</v>
      </c>
      <c r="G52" s="9" t="s">
        <v>9</v>
      </c>
      <c r="H52" s="23" t="s">
        <v>20</v>
      </c>
      <c r="I52" s="11"/>
      <c r="J52" s="11"/>
      <c r="K52" s="11"/>
      <c r="L52" s="7"/>
      <c r="M52" s="7">
        <f>SUM(G48,F51,K52)</f>
        <v>1002.502733965381</v>
      </c>
      <c r="N52" s="10"/>
      <c r="O52" s="6">
        <f>SUM(R51:R53)</f>
        <v>1002.499999999999</v>
      </c>
      <c r="P52" s="7"/>
      <c r="Q52" s="7"/>
      <c r="R52" s="34">
        <f>INDEX(exported_results[asn_vol],MATCH(turn_ids!R52,exported_results[key],0))</f>
        <v>747.49999999999898</v>
      </c>
      <c r="S52" s="9" t="s">
        <v>8</v>
      </c>
      <c r="T52" s="23" t="s">
        <v>19</v>
      </c>
      <c r="U52" s="34">
        <f>INDEX(exported_results[asn_vol],MATCH(turn_ids!U52,exported_results[key],0))</f>
        <v>340</v>
      </c>
      <c r="V52" s="34">
        <f>INDEX(exported_results[asn_vol],MATCH(turn_ids!V52,exported_results[key],0))</f>
        <v>382.5</v>
      </c>
      <c r="X52" s="7"/>
      <c r="Y52" s="7">
        <f>SUM(S48,R52,V52)</f>
        <v>1129.9999999999991</v>
      </c>
      <c r="Z52" s="10"/>
      <c r="AA52" s="6">
        <f>SUM(AD51:AD53)</f>
        <v>1152.499999999993</v>
      </c>
      <c r="AB52" s="7"/>
      <c r="AC52" s="7"/>
      <c r="AD52" s="34">
        <f>INDEX(exported_results[asn_vol],MATCH(turn_ids!AD52,exported_results[key],0))</f>
        <v>854.99999999999295</v>
      </c>
      <c r="AE52" s="9" t="s">
        <v>8</v>
      </c>
      <c r="AF52" s="8"/>
      <c r="AG52" s="34">
        <f>INDEX(exported_results[asn_vol],MATCH(turn_ids!AG52,exported_results[key],0))</f>
        <v>425</v>
      </c>
      <c r="AH52" s="34">
        <f>INDEX(exported_results[asn_vol],MATCH(turn_ids!AH52,exported_results[key],0))</f>
        <v>850</v>
      </c>
      <c r="AI52" s="34">
        <f>INDEX(exported_results[asn_vol],MATCH(turn_ids!AI52,exported_results[key],0))</f>
        <v>344.99999999999898</v>
      </c>
      <c r="AJ52" s="7"/>
      <c r="AK52" s="7">
        <f>SUM(AE48,AD52,AI52)</f>
        <v>1257.4999999999918</v>
      </c>
      <c r="AL52" s="10"/>
      <c r="AM52" s="6">
        <f>SUM(AR51:AR53)</f>
        <v>1280.000000000023</v>
      </c>
      <c r="AN52" s="7"/>
      <c r="AO52" s="6"/>
      <c r="AP52" s="7"/>
      <c r="AQ52" s="7"/>
      <c r="AR52" s="34">
        <f>INDEX(exported_results[asn_vol],MATCH(turn_ids!AR52,exported_results[key],0))</f>
        <v>940.00000000002296</v>
      </c>
      <c r="AS52" s="9" t="s">
        <v>8</v>
      </c>
      <c r="AT52" s="8"/>
      <c r="AU52" s="34">
        <f>INDEX(exported_results[asn_vol],MATCH(turn_ids!AU52,exported_results[key],0))</f>
        <v>85</v>
      </c>
      <c r="AV52" s="34">
        <f>INDEX(exported_results[asn_vol],MATCH(turn_ids!AV52,exported_results[key],0))</f>
        <v>680</v>
      </c>
      <c r="AW52" s="34">
        <f>INDEX(exported_results[asn_vol],MATCH(turn_ids!AW52,exported_results[key],0))</f>
        <v>172.49999999999901</v>
      </c>
      <c r="AX52" s="7"/>
      <c r="AY52" s="7">
        <f>SUM(AS48,AR52,AW52)</f>
        <v>1167.5000000000084</v>
      </c>
      <c r="AZ52" s="10"/>
      <c r="BA52" s="6">
        <f>SUM(BF51:BF53)</f>
        <v>1190</v>
      </c>
      <c r="BB52" s="7"/>
      <c r="BC52" s="6"/>
      <c r="BD52" s="7"/>
      <c r="BE52" s="7"/>
      <c r="BF52" s="34">
        <f>INDEX(exported_results[asn_vol],MATCH(turn_ids!BF52,exported_results[key],0))</f>
        <v>850</v>
      </c>
      <c r="BG52" s="9" t="s">
        <v>8</v>
      </c>
      <c r="BH52" s="8"/>
      <c r="BI52" s="34">
        <f>INDEX(exported_results[asn_vol],MATCH(turn_ids!BI52,exported_results[key],0))</f>
        <v>241.029195089985</v>
      </c>
      <c r="BJ52" s="34">
        <f>INDEX(exported_results[asn_vol],MATCH(turn_ids!BJ52,exported_results[key],0))</f>
        <v>960.89273388501397</v>
      </c>
      <c r="BK52" s="34">
        <f>INDEX(exported_results[asn_vol],MATCH(turn_ids!BK52,exported_results[key],0))</f>
        <v>200.37550853854</v>
      </c>
      <c r="BL52" s="7"/>
      <c r="BM52" s="7">
        <f>SUM(BG48,BF52,BK52)</f>
        <v>1092.9231656997422</v>
      </c>
      <c r="BN52" s="10"/>
    </row>
    <row r="53" spans="2:67" x14ac:dyDescent="0.25">
      <c r="C53" s="6"/>
      <c r="D53" s="7"/>
      <c r="E53" s="7"/>
      <c r="H53" s="23" t="s">
        <v>20</v>
      </c>
      <c r="I53" s="7"/>
      <c r="J53" s="7"/>
      <c r="K53" s="7"/>
      <c r="L53" s="7"/>
      <c r="M53" s="7"/>
      <c r="N53" s="10"/>
      <c r="O53" s="6"/>
      <c r="P53" s="7"/>
      <c r="Q53" s="7"/>
      <c r="R53" s="7"/>
      <c r="S53" s="9"/>
      <c r="T53" s="23" t="s">
        <v>19</v>
      </c>
      <c r="U53" s="7"/>
      <c r="V53" s="7"/>
      <c r="W53" s="7"/>
      <c r="X53" s="7"/>
      <c r="Y53" s="7"/>
      <c r="Z53" s="10"/>
      <c r="AA53" s="6"/>
      <c r="AB53" s="7"/>
      <c r="AC53" s="7"/>
      <c r="AD53" s="34">
        <f>INDEX(exported_results[asn_vol],MATCH(turn_ids!AD53,exported_results[key],0))</f>
        <v>85</v>
      </c>
      <c r="AE53" s="9" t="s">
        <v>9</v>
      </c>
      <c r="AF53" s="8"/>
      <c r="AG53" s="7"/>
      <c r="AH53" s="7"/>
      <c r="AI53" s="7"/>
      <c r="AJ53" s="7"/>
      <c r="AK53" s="7"/>
      <c r="AL53" s="10"/>
      <c r="AM53" s="6"/>
      <c r="AN53" s="7"/>
      <c r="AO53" s="6"/>
      <c r="AP53" s="7"/>
      <c r="AQ53" s="7"/>
      <c r="AR53" s="34">
        <f>INDEX(exported_results[asn_vol],MATCH(turn_ids!AR53,exported_results[key],0))</f>
        <v>255</v>
      </c>
      <c r="AS53" s="9" t="s">
        <v>9</v>
      </c>
      <c r="AT53" s="8"/>
      <c r="AU53" s="7"/>
      <c r="AV53" s="7"/>
      <c r="AW53" s="7"/>
      <c r="AX53" s="7"/>
      <c r="AY53" s="7"/>
      <c r="AZ53" s="10"/>
      <c r="BA53" s="6"/>
      <c r="BB53" s="7"/>
      <c r="BC53" s="6"/>
      <c r="BD53" s="7"/>
      <c r="BE53" s="7"/>
      <c r="BF53" s="34">
        <f>INDEX(exported_results[asn_vol],MATCH(turn_ids!BF53,exported_results[key],0))</f>
        <v>127.5</v>
      </c>
      <c r="BG53" s="9" t="s">
        <v>9</v>
      </c>
      <c r="BH53" s="8"/>
      <c r="BI53" s="7"/>
      <c r="BJ53" s="7"/>
      <c r="BK53" s="7"/>
      <c r="BL53" s="7"/>
      <c r="BM53" s="7"/>
      <c r="BN53" s="10"/>
    </row>
    <row r="54" spans="2:67" x14ac:dyDescent="0.25">
      <c r="C54" s="6"/>
      <c r="D54" s="7"/>
      <c r="E54" s="7"/>
      <c r="F54" s="7"/>
      <c r="G54" s="27">
        <v>890</v>
      </c>
      <c r="H54" s="23" t="s">
        <v>20</v>
      </c>
      <c r="I54" s="7"/>
      <c r="J54" s="7"/>
      <c r="K54" s="7"/>
      <c r="L54" s="7"/>
      <c r="M54" s="7"/>
      <c r="N54" s="10"/>
      <c r="O54" s="6"/>
      <c r="P54" s="7"/>
      <c r="Q54" s="7"/>
      <c r="R54" s="7"/>
      <c r="S54" s="7"/>
      <c r="T54" s="23" t="s">
        <v>19</v>
      </c>
      <c r="U54" s="27">
        <v>890</v>
      </c>
      <c r="V54" s="7"/>
      <c r="W54" s="7"/>
      <c r="X54" s="7"/>
      <c r="Y54" s="7"/>
      <c r="Z54" s="10"/>
      <c r="AA54" s="6"/>
      <c r="AB54" s="7"/>
      <c r="AC54" s="7"/>
      <c r="AD54" s="7"/>
      <c r="AE54" s="7"/>
      <c r="AF54" s="8"/>
      <c r="AG54" s="7"/>
      <c r="AH54" s="7"/>
      <c r="AI54" s="7"/>
      <c r="AJ54" s="7"/>
      <c r="AK54" s="7"/>
      <c r="AL54" s="10"/>
      <c r="AM54" s="6"/>
      <c r="AN54" s="7"/>
      <c r="AO54" s="6"/>
      <c r="AP54" s="7"/>
      <c r="AQ54" s="7"/>
      <c r="AR54" s="7"/>
      <c r="AS54" s="7"/>
      <c r="AT54" s="8"/>
      <c r="AU54" s="7"/>
      <c r="AV54" s="7"/>
      <c r="AW54" s="7"/>
      <c r="AX54" s="7"/>
      <c r="AY54" s="7"/>
      <c r="AZ54" s="10"/>
      <c r="BA54" s="6"/>
      <c r="BB54" s="7"/>
      <c r="BC54" s="6"/>
      <c r="BD54" s="7"/>
      <c r="BE54" s="7"/>
      <c r="BF54" s="7"/>
      <c r="BG54" s="7"/>
      <c r="BH54" s="8"/>
      <c r="BI54" s="7"/>
      <c r="BJ54" s="7"/>
      <c r="BK54" s="7"/>
      <c r="BL54" s="7"/>
      <c r="BM54" s="7"/>
      <c r="BN54" s="10"/>
    </row>
    <row r="55" spans="2:67" x14ac:dyDescent="0.25">
      <c r="C55" s="16"/>
      <c r="D55" s="17"/>
      <c r="E55" s="17"/>
      <c r="F55" s="17">
        <f>SUM(J49,F52)</f>
        <v>680</v>
      </c>
      <c r="G55" s="22" t="s">
        <v>10</v>
      </c>
      <c r="H55" s="14">
        <v>228</v>
      </c>
      <c r="I55" s="22"/>
      <c r="J55" s="17"/>
      <c r="K55" s="17"/>
      <c r="L55" s="17"/>
      <c r="M55" s="17"/>
      <c r="N55" s="19"/>
      <c r="O55" s="16"/>
      <c r="P55" s="17"/>
      <c r="Q55" s="17"/>
      <c r="R55" s="17"/>
      <c r="S55" s="22"/>
      <c r="T55" s="14">
        <v>109</v>
      </c>
      <c r="U55" s="22" t="s">
        <v>12</v>
      </c>
      <c r="V55" s="17">
        <f>SUM(U52:V52)</f>
        <v>722.5</v>
      </c>
      <c r="W55" s="17"/>
      <c r="X55" s="17"/>
      <c r="Y55" s="17"/>
      <c r="Z55" s="19"/>
      <c r="AA55" s="16"/>
      <c r="AB55" s="17"/>
      <c r="AC55" s="17"/>
      <c r="AD55" s="17">
        <f>SUM(AH49,AD48,AD53)</f>
        <v>1242.8366171677492</v>
      </c>
      <c r="AE55" s="22" t="s">
        <v>10</v>
      </c>
      <c r="AF55" s="18"/>
      <c r="AG55" s="22" t="s">
        <v>12</v>
      </c>
      <c r="AH55" s="17">
        <f>SUM(AG52:AI52)</f>
        <v>1619.9999999999991</v>
      </c>
      <c r="AI55" s="17"/>
      <c r="AJ55" s="17"/>
      <c r="AK55" s="17"/>
      <c r="AL55" s="19"/>
      <c r="AM55" s="16"/>
      <c r="AN55" s="17"/>
      <c r="AO55" s="16"/>
      <c r="AP55" s="17"/>
      <c r="AQ55" s="17"/>
      <c r="AR55" s="17">
        <f>SUM(AV49,AR48,AR53)</f>
        <v>1162.499931508582</v>
      </c>
      <c r="AS55" s="22" t="s">
        <v>10</v>
      </c>
      <c r="AT55" s="18"/>
      <c r="AU55" s="22" t="s">
        <v>12</v>
      </c>
      <c r="AV55" s="17">
        <f>SUM(AU52:AW52)</f>
        <v>937.49999999999898</v>
      </c>
      <c r="AW55" s="17"/>
      <c r="AX55" s="17"/>
      <c r="AY55" s="17"/>
      <c r="AZ55" s="19"/>
      <c r="BA55" s="16"/>
      <c r="BB55" s="17"/>
      <c r="BC55" s="16"/>
      <c r="BD55" s="17"/>
      <c r="BE55" s="17"/>
      <c r="BF55" s="17">
        <f>SUM(BJ49,BF48,BF53)</f>
        <v>1532.356750152956</v>
      </c>
      <c r="BG55" s="22" t="s">
        <v>10</v>
      </c>
      <c r="BH55" s="18"/>
      <c r="BI55" s="22" t="s">
        <v>12</v>
      </c>
      <c r="BJ55" s="17">
        <f>SUM(BI52:BK52)</f>
        <v>1402.2974375135391</v>
      </c>
      <c r="BK55" s="17"/>
      <c r="BL55" s="17"/>
      <c r="BM55" s="17"/>
      <c r="BN55" s="19"/>
    </row>
    <row r="56" spans="2:67" x14ac:dyDescent="0.25">
      <c r="AF56" s="14">
        <v>500</v>
      </c>
      <c r="AT56" s="14">
        <v>501</v>
      </c>
      <c r="BH56" s="14">
        <v>502</v>
      </c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5:BO56"/>
  <sheetViews>
    <sheetView showGridLines="0" topLeftCell="A20" zoomScale="70" zoomScaleNormal="70" workbookViewId="0">
      <selection activeCell="Y46" sqref="Y46"/>
    </sheetView>
  </sheetViews>
  <sheetFormatPr defaultColWidth="5.7109375" defaultRowHeight="15" x14ac:dyDescent="0.25"/>
  <cols>
    <col min="14" max="14" width="7.140625" customWidth="1"/>
    <col min="25" max="25" width="10" bestFit="1" customWidth="1"/>
    <col min="26" max="26" width="7.140625" customWidth="1"/>
    <col min="30" max="30" width="7.140625" bestFit="1" customWidth="1"/>
    <col min="31" max="31" width="6.42578125" customWidth="1"/>
    <col min="33" max="33" width="7.140625" customWidth="1"/>
    <col min="34" max="34" width="7.140625" bestFit="1" customWidth="1"/>
    <col min="38" max="38" width="7.28515625" customWidth="1"/>
    <col min="44" max="44" width="7.28515625" customWidth="1"/>
    <col min="45" max="45" width="6.140625" customWidth="1"/>
    <col min="47" max="47" width="6.42578125" customWidth="1"/>
    <col min="52" max="52" width="6.5703125" customWidth="1"/>
    <col min="59" max="59" width="6.85546875" customWidth="1"/>
    <col min="61" max="61" width="6.5703125" customWidth="1"/>
    <col min="66" max="66" width="7.7109375" customWidth="1"/>
  </cols>
  <sheetData>
    <row r="5" spans="27:66" x14ac:dyDescent="0.25">
      <c r="AF5" s="14">
        <v>513</v>
      </c>
      <c r="AT5" s="14">
        <v>514</v>
      </c>
      <c r="BH5" s="14">
        <v>515</v>
      </c>
    </row>
    <row r="6" spans="27:66" x14ac:dyDescent="0.25">
      <c r="AA6" s="2"/>
      <c r="AB6" s="3"/>
      <c r="AC6" s="3"/>
      <c r="AD6" s="3"/>
      <c r="AE6" s="3">
        <f>AD7-AD5</f>
        <v>1.9999999999999898</v>
      </c>
      <c r="AF6" s="4"/>
      <c r="AG6" s="3">
        <f>AH5-AH7</f>
        <v>-1.78249000004243</v>
      </c>
      <c r="AH6" s="3"/>
      <c r="AI6" s="3"/>
      <c r="AJ6" s="3"/>
      <c r="AK6" s="3"/>
      <c r="AL6" s="5"/>
      <c r="AO6" s="2"/>
      <c r="AP6" s="3"/>
      <c r="AQ6" s="3"/>
      <c r="AR6" s="3"/>
      <c r="AS6" s="3">
        <f>AR7-AR5</f>
        <v>1.9999999999999978</v>
      </c>
      <c r="AT6" s="4"/>
      <c r="AU6" s="3">
        <f>AV5-AV7</f>
        <v>-1.9999999999999978</v>
      </c>
      <c r="AV6" s="3"/>
      <c r="AW6" s="3"/>
      <c r="AX6" s="3"/>
      <c r="AY6" s="3"/>
      <c r="AZ6" s="5"/>
      <c r="BC6" s="2"/>
      <c r="BD6" s="3"/>
      <c r="BE6" s="3"/>
      <c r="BF6" s="3"/>
      <c r="BG6" s="3">
        <f>BF7-BF5</f>
        <v>1.9575079772135369</v>
      </c>
      <c r="BH6" s="4"/>
      <c r="BI6" s="3">
        <f>BJ5-BJ7</f>
        <v>-1.9563936372425714</v>
      </c>
      <c r="BJ6" s="3"/>
      <c r="BK6" s="3"/>
      <c r="BL6" s="3"/>
      <c r="BM6" s="3"/>
      <c r="BN6" s="5"/>
    </row>
    <row r="7" spans="27:66" x14ac:dyDescent="0.25">
      <c r="AA7" s="6"/>
      <c r="AB7" s="7"/>
      <c r="AC7" s="7"/>
      <c r="AD7" s="7">
        <f>SUM(AD10:AE10)</f>
        <v>1.9999999999999898</v>
      </c>
      <c r="AE7" s="12" t="s">
        <v>10</v>
      </c>
      <c r="AF7" s="8"/>
      <c r="AG7" s="12" t="s">
        <v>12</v>
      </c>
      <c r="AH7" s="7">
        <f>SUM(AD13,AH14,AH10)</f>
        <v>1.78249000004243</v>
      </c>
      <c r="AI7" s="7"/>
      <c r="AJ7" s="7"/>
      <c r="AK7" s="7"/>
      <c r="AL7" s="10"/>
      <c r="AO7" s="6"/>
      <c r="AP7" s="7"/>
      <c r="AQ7" s="7"/>
      <c r="AR7" s="7">
        <f>SUM(AR10:AS10)</f>
        <v>1.9999999999999978</v>
      </c>
      <c r="AS7" s="12" t="s">
        <v>10</v>
      </c>
      <c r="AT7" s="8"/>
      <c r="AU7" s="12" t="s">
        <v>12</v>
      </c>
      <c r="AV7" s="7">
        <f>SUM(AR13,AV14,AV10)</f>
        <v>1.9999999999999978</v>
      </c>
      <c r="AW7" s="7"/>
      <c r="AX7" s="7"/>
      <c r="AY7" s="7"/>
      <c r="AZ7" s="10"/>
      <c r="BC7" s="6"/>
      <c r="BD7" s="7"/>
      <c r="BE7" s="7"/>
      <c r="BF7" s="7">
        <f>SUM(BF10:BG10)</f>
        <v>1.9575079772135369</v>
      </c>
      <c r="BG7" s="12" t="s">
        <v>10</v>
      </c>
      <c r="BH7" s="8"/>
      <c r="BI7" s="12" t="s">
        <v>12</v>
      </c>
      <c r="BJ7" s="7">
        <f>SUM(BF13,BJ14,BJ10)</f>
        <v>1.9563936372425714</v>
      </c>
      <c r="BK7" s="7"/>
      <c r="BL7" s="7"/>
      <c r="BM7" s="7"/>
      <c r="BN7" s="10"/>
    </row>
    <row r="8" spans="27:66" x14ac:dyDescent="0.25">
      <c r="AA8" s="6"/>
      <c r="AB8" s="7"/>
      <c r="AC8" s="7"/>
      <c r="AD8" s="7"/>
      <c r="AE8" s="7"/>
      <c r="AF8" s="8"/>
      <c r="AG8" s="7"/>
      <c r="AH8" s="7"/>
      <c r="AI8" s="7"/>
      <c r="AJ8" s="7"/>
      <c r="AK8" s="7"/>
      <c r="AL8" s="10"/>
      <c r="AO8" s="6"/>
      <c r="AP8" s="7"/>
      <c r="AQ8" s="7"/>
      <c r="AR8" s="7"/>
      <c r="AS8" s="7"/>
      <c r="AT8" s="8"/>
      <c r="AU8" s="7"/>
      <c r="AV8" s="7"/>
      <c r="AW8" s="7"/>
      <c r="AX8" s="7"/>
      <c r="AY8" s="7"/>
      <c r="AZ8" s="10"/>
      <c r="BC8" s="6"/>
      <c r="BD8" s="7"/>
      <c r="BE8" s="7"/>
      <c r="BF8" s="7"/>
      <c r="BG8" s="7"/>
      <c r="BH8" s="8"/>
      <c r="BI8" s="7"/>
      <c r="BJ8" s="7"/>
      <c r="BK8" s="7"/>
      <c r="BL8" s="7"/>
      <c r="BM8" s="7"/>
      <c r="BN8" s="10"/>
    </row>
    <row r="9" spans="27:66" x14ac:dyDescent="0.25">
      <c r="AA9" s="6"/>
      <c r="AB9" s="7"/>
      <c r="AC9" s="7"/>
      <c r="AD9" s="7"/>
      <c r="AE9" s="7"/>
      <c r="AF9" s="8"/>
      <c r="AI9" s="7"/>
      <c r="AJ9" s="7"/>
      <c r="AK9" s="7"/>
      <c r="AL9" s="10"/>
      <c r="AO9" s="6"/>
      <c r="AP9" s="7"/>
      <c r="AQ9" s="7"/>
      <c r="AR9" s="7"/>
      <c r="AS9" s="7"/>
      <c r="AT9" s="8"/>
      <c r="AW9" s="7"/>
      <c r="AX9" s="7"/>
      <c r="AY9" s="7"/>
      <c r="AZ9" s="10"/>
      <c r="BC9" s="6"/>
      <c r="BD9" s="7"/>
      <c r="BE9" s="7"/>
      <c r="BF9" s="7"/>
      <c r="BG9" s="7"/>
      <c r="BH9" s="8"/>
      <c r="BK9" s="7"/>
      <c r="BL9" s="7"/>
      <c r="BM9" s="7"/>
      <c r="BN9" s="10"/>
    </row>
    <row r="10" spans="27:66" x14ac:dyDescent="0.25">
      <c r="AA10" s="6">
        <f>SUM(AG14,AD10)</f>
        <v>1.7</v>
      </c>
      <c r="AB10" s="7"/>
      <c r="AD10" s="36">
        <f>'asgn vol'!AD10/targets!AD10</f>
        <v>0.85</v>
      </c>
      <c r="AE10" s="36">
        <f>'asgn vol'!AE10/targets!AE10</f>
        <v>1.1499999999999899</v>
      </c>
      <c r="AF10" s="8"/>
      <c r="AG10" s="9" t="s">
        <v>14</v>
      </c>
      <c r="AH10" s="36">
        <f>'asgn vol'!AH10/targets!AH10</f>
        <v>0.85</v>
      </c>
      <c r="AI10" s="7"/>
      <c r="AJ10" s="7"/>
      <c r="AK10" s="7">
        <f>SUM(AH10:AH11)</f>
        <v>1.7</v>
      </c>
      <c r="AL10" s="10"/>
      <c r="AO10" s="6">
        <f>SUM(AU14,AR10)</f>
        <v>1.7</v>
      </c>
      <c r="AP10" s="7"/>
      <c r="AR10" s="36">
        <f>'asgn vol'!AR10/targets!AR10</f>
        <v>0.85</v>
      </c>
      <c r="AS10" s="36">
        <f>'asgn vol'!AS10/targets!AS10</f>
        <v>1.1499999999999979</v>
      </c>
      <c r="AT10" s="8"/>
      <c r="AU10" s="9" t="s">
        <v>14</v>
      </c>
      <c r="AV10" s="36">
        <f>'asgn vol'!AV10/targets!AV10</f>
        <v>0.85</v>
      </c>
      <c r="AW10" s="7"/>
      <c r="AX10" s="7"/>
      <c r="AY10" s="7">
        <f>SUM(AV10:AV11)</f>
        <v>1.7</v>
      </c>
      <c r="AZ10" s="10"/>
      <c r="BC10" s="6">
        <f>SUM(BI14,BF10)</f>
        <v>1.7</v>
      </c>
      <c r="BD10" s="7"/>
      <c r="BF10" s="36">
        <f>'asgn vol'!BF10/targets!BF10</f>
        <v>0.85</v>
      </c>
      <c r="BG10" s="36">
        <f>'asgn vol'!BG10/targets!BG10</f>
        <v>1.1075079772135368</v>
      </c>
      <c r="BH10" s="8"/>
      <c r="BI10" s="9" t="s">
        <v>14</v>
      </c>
      <c r="BJ10" s="36">
        <f>'asgn vol'!BJ10/targets!BJ10</f>
        <v>0.85</v>
      </c>
      <c r="BK10" s="7"/>
      <c r="BL10" s="7"/>
      <c r="BM10" s="7">
        <f>SUM(BJ10:BJ11)</f>
        <v>1.7</v>
      </c>
      <c r="BN10" s="10"/>
    </row>
    <row r="11" spans="27:66" x14ac:dyDescent="0.25">
      <c r="AA11" s="21" t="s">
        <v>15</v>
      </c>
      <c r="AB11" s="27">
        <v>660</v>
      </c>
      <c r="AD11" s="12">
        <v>8</v>
      </c>
      <c r="AE11" s="12" t="s">
        <v>10</v>
      </c>
      <c r="AF11" s="8"/>
      <c r="AG11" s="9" t="s">
        <v>16</v>
      </c>
      <c r="AH11" s="36">
        <f>'asgn vol'!AH11/targets!AH11</f>
        <v>0.85</v>
      </c>
      <c r="AI11" s="7"/>
      <c r="AJ11" s="27">
        <v>440</v>
      </c>
      <c r="AK11" s="20" t="s">
        <v>15</v>
      </c>
      <c r="AL11" s="10">
        <f>AK10-AM10</f>
        <v>1.7</v>
      </c>
      <c r="AO11" s="21" t="s">
        <v>15</v>
      </c>
      <c r="AP11" s="27">
        <v>690</v>
      </c>
      <c r="AR11" s="12">
        <v>8</v>
      </c>
      <c r="AS11" s="12" t="s">
        <v>10</v>
      </c>
      <c r="AT11" s="8"/>
      <c r="AU11" s="9" t="s">
        <v>16</v>
      </c>
      <c r="AV11" s="36">
        <f>'asgn vol'!AV11/targets!AV11</f>
        <v>0.85</v>
      </c>
      <c r="AW11" s="7"/>
      <c r="AX11" s="27">
        <v>120</v>
      </c>
      <c r="AY11" s="20" t="s">
        <v>15</v>
      </c>
      <c r="AZ11" s="10">
        <f>AY10-BA10</f>
        <v>1.7</v>
      </c>
      <c r="BC11" s="21" t="s">
        <v>15</v>
      </c>
      <c r="BD11" s="27">
        <v>810</v>
      </c>
      <c r="BF11" s="12">
        <v>8</v>
      </c>
      <c r="BG11" s="12" t="s">
        <v>10</v>
      </c>
      <c r="BH11" s="8"/>
      <c r="BI11" s="9" t="s">
        <v>16</v>
      </c>
      <c r="BJ11" s="36">
        <f>'asgn vol'!BJ11/targets!BJ11</f>
        <v>0.85</v>
      </c>
      <c r="BK11" s="7"/>
      <c r="BL11" s="27">
        <v>900</v>
      </c>
      <c r="BM11" s="20" t="s">
        <v>15</v>
      </c>
      <c r="BN11" s="10">
        <f>BM10-BO10</f>
        <v>1.7</v>
      </c>
    </row>
    <row r="12" spans="27:66" x14ac:dyDescent="0.25">
      <c r="AA12" s="14">
        <v>409</v>
      </c>
      <c r="AB12" s="23" t="s">
        <v>18</v>
      </c>
      <c r="AC12" s="23" t="s">
        <v>18</v>
      </c>
      <c r="AD12" s="23" t="s">
        <v>18</v>
      </c>
      <c r="AE12" s="23" t="s">
        <v>18</v>
      </c>
      <c r="AF12" s="14">
        <v>408</v>
      </c>
      <c r="AG12" s="23" t="s">
        <v>18</v>
      </c>
      <c r="AH12" s="23" t="s">
        <v>18</v>
      </c>
      <c r="AI12" s="23" t="s">
        <v>18</v>
      </c>
      <c r="AJ12" s="23" t="s">
        <v>18</v>
      </c>
      <c r="AK12" s="23" t="s">
        <v>18</v>
      </c>
      <c r="AL12" s="14">
        <v>407</v>
      </c>
      <c r="AO12" s="14">
        <v>406</v>
      </c>
      <c r="AP12" s="23" t="s">
        <v>18</v>
      </c>
      <c r="AQ12" s="23" t="s">
        <v>18</v>
      </c>
      <c r="AR12" s="23" t="s">
        <v>18</v>
      </c>
      <c r="AS12" s="23" t="s">
        <v>18</v>
      </c>
      <c r="AT12" s="14">
        <v>405</v>
      </c>
      <c r="AU12" s="23" t="s">
        <v>18</v>
      </c>
      <c r="AV12" s="23" t="s">
        <v>18</v>
      </c>
      <c r="AW12" s="23" t="s">
        <v>18</v>
      </c>
      <c r="AX12" s="23" t="s">
        <v>18</v>
      </c>
      <c r="AY12" s="23" t="s">
        <v>18</v>
      </c>
      <c r="AZ12" s="14">
        <v>404</v>
      </c>
      <c r="BC12" s="14">
        <v>403</v>
      </c>
      <c r="BD12" s="23" t="s">
        <v>18</v>
      </c>
      <c r="BE12" s="23" t="s">
        <v>18</v>
      </c>
      <c r="BF12" s="23" t="s">
        <v>18</v>
      </c>
      <c r="BG12" s="23" t="s">
        <v>18</v>
      </c>
      <c r="BH12" s="14">
        <v>402</v>
      </c>
      <c r="BI12" s="23" t="s">
        <v>18</v>
      </c>
      <c r="BJ12" s="23" t="s">
        <v>18</v>
      </c>
      <c r="BK12" s="23" t="s">
        <v>18</v>
      </c>
      <c r="BL12" s="23" t="s">
        <v>18</v>
      </c>
      <c r="BM12" s="23" t="s">
        <v>18</v>
      </c>
      <c r="BN12" s="14">
        <v>401</v>
      </c>
    </row>
    <row r="13" spans="27:66" x14ac:dyDescent="0.25">
      <c r="AA13" s="21"/>
      <c r="AB13" s="8"/>
      <c r="AC13" s="7"/>
      <c r="AD13" s="7"/>
      <c r="AE13" s="9"/>
      <c r="AF13" s="8"/>
      <c r="AG13" s="12" t="s">
        <v>11</v>
      </c>
      <c r="AH13" s="12" t="s">
        <v>12</v>
      </c>
      <c r="AI13" s="12"/>
      <c r="AJ13" s="7"/>
      <c r="AK13" s="24"/>
      <c r="AL13" s="10"/>
      <c r="AO13" s="21"/>
      <c r="AP13" s="8"/>
      <c r="AQ13" s="7"/>
      <c r="AR13" s="7"/>
      <c r="AS13" s="9"/>
      <c r="AT13" s="8"/>
      <c r="AU13" s="12" t="s">
        <v>11</v>
      </c>
      <c r="AV13" s="12" t="s">
        <v>12</v>
      </c>
      <c r="AW13" s="12"/>
      <c r="AX13" s="7"/>
      <c r="AY13" s="24"/>
      <c r="AZ13" s="10"/>
      <c r="BC13" s="21"/>
      <c r="BD13" s="8"/>
      <c r="BE13" s="7"/>
      <c r="BF13" s="7"/>
      <c r="BG13" s="9"/>
      <c r="BH13" s="8"/>
      <c r="BI13" s="12" t="s">
        <v>11</v>
      </c>
      <c r="BJ13" s="12" t="s">
        <v>12</v>
      </c>
      <c r="BK13" s="12"/>
      <c r="BL13" s="7"/>
      <c r="BM13" s="24"/>
      <c r="BN13" s="10"/>
    </row>
    <row r="14" spans="27:66" x14ac:dyDescent="0.25">
      <c r="AA14" s="6"/>
      <c r="AB14" s="8"/>
      <c r="AC14" s="7"/>
      <c r="AD14" s="7"/>
      <c r="AE14" s="9"/>
      <c r="AF14" s="8"/>
      <c r="AG14" s="36">
        <f>'asgn vol'!AG14/targets!AG14</f>
        <v>0.85</v>
      </c>
      <c r="AH14" s="36">
        <f>'asgn vol'!AH14/targets!AH14</f>
        <v>0.93249000004242999</v>
      </c>
      <c r="AI14" s="11"/>
      <c r="AJ14" s="7"/>
      <c r="AK14" s="8"/>
      <c r="AL14" s="10"/>
      <c r="AO14" s="6"/>
      <c r="AP14" s="8"/>
      <c r="AQ14" s="7"/>
      <c r="AR14" s="7"/>
      <c r="AS14" s="9"/>
      <c r="AT14" s="8"/>
      <c r="AU14" s="36">
        <f>'asgn vol'!AU14/targets!AU14</f>
        <v>0.85</v>
      </c>
      <c r="AV14" s="36">
        <f>'asgn vol'!AV14/targets!AV14</f>
        <v>1.1499999999999979</v>
      </c>
      <c r="AW14" s="11"/>
      <c r="AX14" s="7"/>
      <c r="AY14" s="8"/>
      <c r="AZ14" s="10"/>
      <c r="BC14" s="6"/>
      <c r="BD14" s="8"/>
      <c r="BE14" s="7"/>
      <c r="BF14" s="7"/>
      <c r="BG14" s="9"/>
      <c r="BH14" s="8"/>
      <c r="BI14" s="36">
        <f>'asgn vol'!BI14/targets!BI14</f>
        <v>0.85</v>
      </c>
      <c r="BJ14" s="36">
        <f>'asgn vol'!BJ14/targets!BJ14</f>
        <v>1.1063936372425713</v>
      </c>
      <c r="BK14" s="11"/>
      <c r="BL14" s="7"/>
      <c r="BM14" s="8"/>
      <c r="BN14" s="10"/>
    </row>
    <row r="15" spans="27:66" x14ac:dyDescent="0.25">
      <c r="AA15" s="6"/>
      <c r="AB15" s="8"/>
      <c r="AC15" s="7"/>
      <c r="AD15" s="7"/>
      <c r="AE15" s="9"/>
      <c r="AF15" s="8"/>
      <c r="AG15" s="7"/>
      <c r="AH15" s="7"/>
      <c r="AI15" s="7"/>
      <c r="AJ15" s="7"/>
      <c r="AK15" s="8"/>
      <c r="AL15" s="10"/>
      <c r="AO15" s="6"/>
      <c r="AP15" s="8"/>
      <c r="AQ15" s="7"/>
      <c r="AR15" s="7"/>
      <c r="AS15" s="9"/>
      <c r="AT15" s="8"/>
      <c r="AU15" s="7"/>
      <c r="AV15" s="7"/>
      <c r="AW15" s="7"/>
      <c r="AX15" s="7"/>
      <c r="AY15" s="8"/>
      <c r="AZ15" s="10"/>
      <c r="BC15" s="6"/>
      <c r="BD15" s="8"/>
      <c r="BE15" s="7"/>
      <c r="BF15" s="7"/>
      <c r="BG15" s="9"/>
      <c r="BH15" s="8"/>
      <c r="BI15" s="7"/>
      <c r="BJ15" s="7"/>
      <c r="BK15" s="7"/>
      <c r="BL15" s="7"/>
      <c r="BM15" s="8"/>
      <c r="BN15" s="10"/>
    </row>
    <row r="16" spans="27:66" x14ac:dyDescent="0.25">
      <c r="AA16" s="13"/>
      <c r="AB16" s="8"/>
      <c r="AC16" s="8"/>
      <c r="AD16" s="7"/>
      <c r="AE16" s="7"/>
      <c r="AF16" s="8"/>
      <c r="AG16" s="7"/>
      <c r="AH16" s="7"/>
      <c r="AI16" s="8"/>
      <c r="AJ16" s="8"/>
      <c r="AK16" s="8"/>
      <c r="AL16" s="15"/>
      <c r="AM16" s="1"/>
      <c r="AN16" s="1"/>
      <c r="AO16" s="13"/>
      <c r="AP16" s="8"/>
      <c r="AQ16" s="8"/>
      <c r="AR16" s="7"/>
      <c r="AS16" s="7"/>
      <c r="AT16" s="8"/>
      <c r="AU16" s="7"/>
      <c r="AV16" s="7"/>
      <c r="AW16" s="8"/>
      <c r="AX16" s="8"/>
      <c r="AY16" s="8"/>
      <c r="AZ16" s="15"/>
      <c r="BA16" s="1"/>
      <c r="BB16" s="1"/>
      <c r="BC16" s="13"/>
      <c r="BD16" s="8"/>
      <c r="BE16" s="8"/>
      <c r="BF16" s="7"/>
      <c r="BG16" s="7"/>
      <c r="BH16" s="8"/>
      <c r="BI16" s="7"/>
      <c r="BJ16" s="7"/>
      <c r="BK16" s="8"/>
      <c r="BL16" s="8"/>
      <c r="BM16" s="8"/>
      <c r="BN16" s="15"/>
    </row>
    <row r="17" spans="3:66" x14ac:dyDescent="0.25">
      <c r="AA17" s="16"/>
      <c r="AB17" s="17"/>
      <c r="AC17" s="17"/>
      <c r="AD17" s="17">
        <f>SUM(AH11,AE10,AD15)</f>
        <v>1.9999999999999898</v>
      </c>
      <c r="AE17" s="22" t="s">
        <v>10</v>
      </c>
      <c r="AF17" s="18"/>
      <c r="AG17" s="22" t="s">
        <v>12</v>
      </c>
      <c r="AH17" s="17">
        <f>SUM(AG14:AI14)</f>
        <v>1.78249000004243</v>
      </c>
      <c r="AI17" s="17"/>
      <c r="AJ17" s="17"/>
      <c r="AK17" s="17"/>
      <c r="AL17" s="19"/>
      <c r="AO17" s="16"/>
      <c r="AP17" s="17"/>
      <c r="AQ17" s="17"/>
      <c r="AR17" s="17">
        <f>SUM(AV11,AS10,AR15)</f>
        <v>1.9999999999999978</v>
      </c>
      <c r="AS17" s="22" t="s">
        <v>10</v>
      </c>
      <c r="AT17" s="18"/>
      <c r="AU17" s="22" t="s">
        <v>12</v>
      </c>
      <c r="AV17" s="17">
        <f>SUM(AU14:AW14)</f>
        <v>1.9999999999999978</v>
      </c>
      <c r="AW17" s="17"/>
      <c r="AX17" s="17"/>
      <c r="AY17" s="17"/>
      <c r="AZ17" s="19"/>
      <c r="BC17" s="16"/>
      <c r="BD17" s="17"/>
      <c r="BE17" s="17"/>
      <c r="BF17" s="17">
        <f>SUM(BJ11,BG10,BF15)</f>
        <v>1.9575079772135369</v>
      </c>
      <c r="BG17" s="22" t="s">
        <v>10</v>
      </c>
      <c r="BH17" s="18"/>
      <c r="BI17" s="22" t="s">
        <v>12</v>
      </c>
      <c r="BJ17" s="17">
        <f>SUM(BI14:BK14)</f>
        <v>1.9563936372425714</v>
      </c>
      <c r="BK17" s="17"/>
      <c r="BL17" s="17"/>
      <c r="BM17" s="17"/>
      <c r="BN17" s="19"/>
    </row>
    <row r="18" spans="3:66" x14ac:dyDescent="0.25">
      <c r="AA18" s="2"/>
      <c r="AB18" s="3"/>
      <c r="AC18" s="3"/>
      <c r="AD18" s="3"/>
      <c r="AE18" s="30">
        <f>AD19-AD17</f>
        <v>-0.21041666666663983</v>
      </c>
      <c r="AF18" s="4"/>
      <c r="AG18" s="30">
        <f>AH17-AH19</f>
        <v>-0.2175099999575687</v>
      </c>
      <c r="AH18" s="3"/>
      <c r="AI18" s="3"/>
      <c r="AJ18" s="3"/>
      <c r="AK18" s="3"/>
      <c r="AL18" s="5"/>
      <c r="AO18" s="2"/>
      <c r="AP18" s="3"/>
      <c r="AQ18" s="3"/>
      <c r="AR18" s="3"/>
      <c r="AS18" s="30">
        <f>AR19-AR17</f>
        <v>-0.1075000000000137</v>
      </c>
      <c r="AT18" s="4"/>
      <c r="AU18" s="30">
        <f>AV17-AV19</f>
        <v>0.23281249999997033</v>
      </c>
      <c r="AV18" s="3"/>
      <c r="AW18" s="3"/>
      <c r="AX18" s="3"/>
      <c r="AY18" s="3"/>
      <c r="AZ18" s="5"/>
      <c r="BC18" s="2"/>
      <c r="BD18" s="3"/>
      <c r="BE18" s="3"/>
      <c r="BF18" s="3"/>
      <c r="BG18" s="30">
        <f>BF19-BF17</f>
        <v>-0.18799319099378886</v>
      </c>
      <c r="BH18" s="4"/>
      <c r="BI18" s="30">
        <f>BJ17-BJ19</f>
        <v>9.8926060549871409E-2</v>
      </c>
      <c r="BJ18" s="3"/>
      <c r="BK18" s="3"/>
      <c r="BL18" s="3"/>
      <c r="BM18" s="3"/>
      <c r="BN18" s="5"/>
    </row>
    <row r="19" spans="3:66" x14ac:dyDescent="0.25">
      <c r="AA19" s="13"/>
      <c r="AB19" s="8"/>
      <c r="AC19" s="8"/>
      <c r="AD19" s="7">
        <f>SUM(AC22:AE22)</f>
        <v>1.78958333333335</v>
      </c>
      <c r="AE19" s="12" t="s">
        <v>10</v>
      </c>
      <c r="AF19" s="8"/>
      <c r="AG19" s="12" t="s">
        <v>12</v>
      </c>
      <c r="AH19" s="7">
        <f>SUM(AD25,AG26,AH21)</f>
        <v>1.9999999999999987</v>
      </c>
      <c r="AI19" s="8"/>
      <c r="AJ19" s="8"/>
      <c r="AK19" s="8"/>
      <c r="AL19" s="15"/>
      <c r="AM19" s="1"/>
      <c r="AN19" s="1"/>
      <c r="AO19" s="13"/>
      <c r="AP19" s="8"/>
      <c r="AQ19" s="8"/>
      <c r="AR19" s="7">
        <f>SUM(AQ22:AS22)</f>
        <v>1.8924999999999841</v>
      </c>
      <c r="AS19" s="12" t="s">
        <v>10</v>
      </c>
      <c r="AT19" s="8"/>
      <c r="AU19" s="12" t="s">
        <v>12</v>
      </c>
      <c r="AV19" s="7">
        <f>SUM(AR25,AU26,AV21)</f>
        <v>1.7671875000000274</v>
      </c>
      <c r="AW19" s="8"/>
      <c r="AX19" s="8"/>
      <c r="AY19" s="8"/>
      <c r="AZ19" s="15"/>
      <c r="BA19" s="1"/>
      <c r="BB19" s="1"/>
      <c r="BC19" s="13"/>
      <c r="BD19" s="8"/>
      <c r="BE19" s="8"/>
      <c r="BF19" s="7">
        <f>SUM(BE22:BG22)</f>
        <v>1.769514786219748</v>
      </c>
      <c r="BG19" s="12" t="s">
        <v>10</v>
      </c>
      <c r="BH19" s="8"/>
      <c r="BI19" s="12" t="s">
        <v>12</v>
      </c>
      <c r="BJ19" s="7">
        <f>SUM(BF25,BI26,BJ21)</f>
        <v>1.8574675766927</v>
      </c>
      <c r="BK19" s="8"/>
      <c r="BL19" s="8"/>
      <c r="BM19" s="8"/>
      <c r="BN19" s="15"/>
    </row>
    <row r="20" spans="3:66" x14ac:dyDescent="0.25">
      <c r="AA20" s="6"/>
      <c r="AB20" s="8"/>
      <c r="AC20" s="7"/>
      <c r="AD20" s="7"/>
      <c r="AE20" s="7"/>
      <c r="AF20" s="8"/>
      <c r="AG20" s="7"/>
      <c r="AH20" s="7"/>
      <c r="AI20" s="7"/>
      <c r="AJ20" s="7"/>
      <c r="AK20" s="8"/>
      <c r="AL20" s="10"/>
      <c r="AO20" s="6"/>
      <c r="AP20" s="8"/>
      <c r="AQ20" s="7"/>
      <c r="AR20" s="7"/>
      <c r="AS20" s="7"/>
      <c r="AT20" s="8"/>
      <c r="AU20" s="7"/>
      <c r="AV20" s="7"/>
      <c r="AW20" s="7"/>
      <c r="AX20" s="7"/>
      <c r="AY20" s="8"/>
      <c r="AZ20" s="10"/>
      <c r="BC20" s="6"/>
      <c r="BD20" s="8"/>
      <c r="BE20" s="7"/>
      <c r="BF20" s="7"/>
      <c r="BG20" s="7"/>
      <c r="BH20" s="8"/>
      <c r="BI20" s="7"/>
      <c r="BJ20" s="7"/>
      <c r="BK20" s="7"/>
      <c r="BL20" s="7"/>
      <c r="BM20" s="8"/>
      <c r="BN20" s="10"/>
    </row>
    <row r="21" spans="3:66" x14ac:dyDescent="0.25">
      <c r="AA21" s="6"/>
      <c r="AB21" s="8"/>
      <c r="AC21" s="7"/>
      <c r="AD21" s="7"/>
      <c r="AE21" s="7"/>
      <c r="AF21" s="8"/>
      <c r="AG21" s="9"/>
      <c r="AH21" s="7"/>
      <c r="AI21" s="7"/>
      <c r="AJ21" s="7"/>
      <c r="AK21" s="8"/>
      <c r="AL21" s="10"/>
      <c r="AO21" s="6"/>
      <c r="AP21" s="8"/>
      <c r="AQ21" s="7"/>
      <c r="AR21" s="7"/>
      <c r="AS21" s="7"/>
      <c r="AT21" s="8"/>
      <c r="AU21" s="9"/>
      <c r="AV21" s="7"/>
      <c r="AW21" s="7"/>
      <c r="AX21" s="7"/>
      <c r="AY21" s="8"/>
      <c r="AZ21" s="10"/>
      <c r="BC21" s="6"/>
      <c r="BD21" s="8"/>
      <c r="BE21" s="7"/>
      <c r="BF21" s="7"/>
      <c r="BG21" s="7"/>
      <c r="BH21" s="8"/>
      <c r="BI21" s="9"/>
      <c r="BJ21" s="7"/>
      <c r="BK21" s="7"/>
      <c r="BL21" s="7"/>
      <c r="BM21" s="8"/>
      <c r="BN21" s="10"/>
    </row>
    <row r="22" spans="3:66" x14ac:dyDescent="0.25">
      <c r="AA22" s="6"/>
      <c r="AB22" s="8"/>
      <c r="AC22" s="11"/>
      <c r="AD22" s="36">
        <f>'asgn vol'!AD22/targets!AD22</f>
        <v>0.93958333333334998</v>
      </c>
      <c r="AE22" s="36">
        <f>'asgn vol'!AE22/targets!AE22</f>
        <v>0.85</v>
      </c>
      <c r="AF22" s="8"/>
      <c r="AG22" s="9"/>
      <c r="AH22" s="7"/>
      <c r="AI22" s="7"/>
      <c r="AJ22" s="7"/>
      <c r="AK22" s="8"/>
      <c r="AL22" s="10"/>
      <c r="AO22" s="6"/>
      <c r="AP22" s="8"/>
      <c r="AQ22" s="11"/>
      <c r="AR22" s="36">
        <f>'asgn vol'!AR22/targets!AR22</f>
        <v>1.042499999999984</v>
      </c>
      <c r="AS22" s="36">
        <f>'asgn vol'!AS22/targets!AS22</f>
        <v>0.85</v>
      </c>
      <c r="AT22" s="8"/>
      <c r="AU22" s="9"/>
      <c r="AV22" s="7"/>
      <c r="AW22" s="7"/>
      <c r="AX22" s="7"/>
      <c r="AY22" s="8"/>
      <c r="AZ22" s="10"/>
      <c r="BC22" s="6"/>
      <c r="BD22" s="8"/>
      <c r="BE22" s="11"/>
      <c r="BF22" s="36">
        <f>'asgn vol'!BF22/targets!BF22</f>
        <v>0.91951478621974803</v>
      </c>
      <c r="BG22" s="36">
        <f>'asgn vol'!BG22/targets!BG22</f>
        <v>0.85</v>
      </c>
      <c r="BH22" s="8"/>
      <c r="BI22" s="9"/>
      <c r="BJ22" s="7"/>
      <c r="BK22" s="7"/>
      <c r="BL22" s="7"/>
      <c r="BM22" s="8"/>
      <c r="BN22" s="10"/>
    </row>
    <row r="23" spans="3:66" x14ac:dyDescent="0.25">
      <c r="AA23" s="21"/>
      <c r="AB23" s="8"/>
      <c r="AC23" s="12"/>
      <c r="AD23" s="12" t="s">
        <v>10</v>
      </c>
      <c r="AE23" s="12">
        <v>9</v>
      </c>
      <c r="AF23" s="8"/>
      <c r="AG23" s="9"/>
      <c r="AH23" s="7"/>
      <c r="AI23" s="7"/>
      <c r="AJ23" s="7"/>
      <c r="AK23" s="24"/>
      <c r="AL23" s="10"/>
      <c r="AO23" s="21"/>
      <c r="AP23" s="8"/>
      <c r="AQ23" s="12"/>
      <c r="AR23" s="12" t="s">
        <v>10</v>
      </c>
      <c r="AS23" s="12">
        <v>9</v>
      </c>
      <c r="AT23" s="8"/>
      <c r="AU23" s="9"/>
      <c r="AV23" s="7"/>
      <c r="AW23" s="7"/>
      <c r="AX23" s="7"/>
      <c r="AY23" s="24"/>
      <c r="AZ23" s="10"/>
      <c r="BC23" s="21"/>
      <c r="BD23" s="8"/>
      <c r="BE23" s="12"/>
      <c r="BF23" s="12" t="s">
        <v>10</v>
      </c>
      <c r="BG23" s="12">
        <v>9</v>
      </c>
      <c r="BH23" s="8"/>
      <c r="BI23" s="9"/>
      <c r="BJ23" s="7"/>
      <c r="BK23" s="7"/>
      <c r="BL23" s="7"/>
      <c r="BM23" s="24"/>
      <c r="BN23" s="10"/>
    </row>
    <row r="24" spans="3:66" x14ac:dyDescent="0.25">
      <c r="AA24" s="14">
        <v>319</v>
      </c>
      <c r="AB24" s="23" t="s">
        <v>17</v>
      </c>
      <c r="AC24" s="23" t="s">
        <v>17</v>
      </c>
      <c r="AD24" s="23" t="s">
        <v>17</v>
      </c>
      <c r="AE24" s="23" t="s">
        <v>17</v>
      </c>
      <c r="AF24" s="14">
        <v>320</v>
      </c>
      <c r="AG24" s="23" t="s">
        <v>17</v>
      </c>
      <c r="AH24" s="23" t="s">
        <v>17</v>
      </c>
      <c r="AI24" s="23" t="s">
        <v>17</v>
      </c>
      <c r="AJ24" s="23" t="s">
        <v>17</v>
      </c>
      <c r="AK24" s="23" t="s">
        <v>17</v>
      </c>
      <c r="AL24" s="14">
        <v>321</v>
      </c>
      <c r="AO24" s="14">
        <v>322</v>
      </c>
      <c r="AP24" s="23" t="s">
        <v>17</v>
      </c>
      <c r="AQ24" s="23" t="s">
        <v>17</v>
      </c>
      <c r="AR24" s="23" t="s">
        <v>17</v>
      </c>
      <c r="AS24" s="23" t="s">
        <v>17</v>
      </c>
      <c r="AT24" s="14">
        <v>323</v>
      </c>
      <c r="AU24" s="23" t="s">
        <v>17</v>
      </c>
      <c r="AV24" s="23" t="s">
        <v>17</v>
      </c>
      <c r="AW24" s="23" t="s">
        <v>17</v>
      </c>
      <c r="AX24" s="23" t="s">
        <v>17</v>
      </c>
      <c r="AY24" s="23" t="s">
        <v>17</v>
      </c>
      <c r="AZ24" s="14">
        <v>324</v>
      </c>
      <c r="BC24" s="14">
        <v>325</v>
      </c>
      <c r="BD24" s="23" t="s">
        <v>17</v>
      </c>
      <c r="BE24" s="23" t="s">
        <v>17</v>
      </c>
      <c r="BF24" s="23" t="s">
        <v>17</v>
      </c>
      <c r="BG24" s="23" t="s">
        <v>17</v>
      </c>
      <c r="BH24" s="14">
        <v>326</v>
      </c>
      <c r="BI24" s="23" t="s">
        <v>17</v>
      </c>
      <c r="BJ24" s="23" t="s">
        <v>17</v>
      </c>
      <c r="BK24" s="23" t="s">
        <v>17</v>
      </c>
      <c r="BL24" s="23" t="s">
        <v>17</v>
      </c>
      <c r="BM24" s="23" t="s">
        <v>17</v>
      </c>
      <c r="BN24" s="14">
        <v>327</v>
      </c>
    </row>
    <row r="25" spans="3:66" x14ac:dyDescent="0.25">
      <c r="AA25" s="21" t="s">
        <v>8</v>
      </c>
      <c r="AB25" s="27">
        <v>890</v>
      </c>
      <c r="AC25" s="7"/>
      <c r="AD25" s="36">
        <f>'asgn vol'!AD25/targets!AD25</f>
        <v>0.85</v>
      </c>
      <c r="AE25" s="9" t="s">
        <v>7</v>
      </c>
      <c r="AF25" s="8"/>
      <c r="AG25" s="12" t="s">
        <v>12</v>
      </c>
      <c r="AH25" s="12" t="s">
        <v>13</v>
      </c>
      <c r="AJ25" s="27">
        <v>740</v>
      </c>
      <c r="AK25" s="20" t="s">
        <v>8</v>
      </c>
      <c r="AL25" s="10">
        <f>AM26-AK26</f>
        <v>-1.7</v>
      </c>
      <c r="AO25" s="21" t="s">
        <v>8</v>
      </c>
      <c r="AP25" s="27">
        <v>740</v>
      </c>
      <c r="AQ25" s="7"/>
      <c r="AR25" s="36">
        <f>'asgn vol'!AR25/targets!AR25</f>
        <v>0.85</v>
      </c>
      <c r="AS25" s="9" t="s">
        <v>7</v>
      </c>
      <c r="AT25" s="8"/>
      <c r="AU25" s="12" t="s">
        <v>12</v>
      </c>
      <c r="AV25" s="12" t="s">
        <v>13</v>
      </c>
      <c r="AX25" s="27">
        <v>390</v>
      </c>
      <c r="AY25" s="20" t="s">
        <v>8</v>
      </c>
      <c r="AZ25" s="10">
        <f>BA26-AY26</f>
        <v>-1.7</v>
      </c>
      <c r="BC25" s="21" t="s">
        <v>8</v>
      </c>
      <c r="BD25" s="27">
        <v>820</v>
      </c>
      <c r="BE25" s="7"/>
      <c r="BF25" s="36">
        <f>'asgn vol'!BF25/targets!BF25</f>
        <v>0.85</v>
      </c>
      <c r="BG25" s="9" t="s">
        <v>7</v>
      </c>
      <c r="BH25" s="8"/>
      <c r="BI25" s="12" t="s">
        <v>12</v>
      </c>
      <c r="BJ25" s="12" t="s">
        <v>13</v>
      </c>
      <c r="BL25" s="27">
        <v>270</v>
      </c>
      <c r="BM25" s="20" t="s">
        <v>8</v>
      </c>
      <c r="BN25" s="10">
        <f>BO26-BM26</f>
        <v>-1.7</v>
      </c>
    </row>
    <row r="26" spans="3:66" x14ac:dyDescent="0.25">
      <c r="AA26" s="6">
        <f>SUM(AD25:AD26)</f>
        <v>1.7</v>
      </c>
      <c r="AB26" s="7"/>
      <c r="AC26" s="7"/>
      <c r="AD26" s="36">
        <f>'asgn vol'!AD26/targets!AD26</f>
        <v>0.85</v>
      </c>
      <c r="AE26" s="9" t="s">
        <v>9</v>
      </c>
      <c r="AF26" s="8"/>
      <c r="AG26" s="36">
        <f>'asgn vol'!AG26/targets!AG26</f>
        <v>1.1499999999999986</v>
      </c>
      <c r="AH26" s="36">
        <f>'asgn vol'!AH26/targets!AH26</f>
        <v>0.85</v>
      </c>
      <c r="AJ26" s="7"/>
      <c r="AK26" s="7">
        <f>SUM(AE22,AH26)</f>
        <v>1.7</v>
      </c>
      <c r="AL26" s="10"/>
      <c r="AO26" s="6">
        <f>SUM(AR25:AR26)</f>
        <v>1.7</v>
      </c>
      <c r="AP26" s="7"/>
      <c r="AQ26" s="7"/>
      <c r="AR26" s="36">
        <f>'asgn vol'!AR26/targets!AR26</f>
        <v>0.85</v>
      </c>
      <c r="AS26" s="9" t="s">
        <v>9</v>
      </c>
      <c r="AT26" s="8"/>
      <c r="AU26" s="36">
        <f>'asgn vol'!AU26/targets!AU26</f>
        <v>0.91718750000002758</v>
      </c>
      <c r="AV26" s="36">
        <f>'asgn vol'!AV26/targets!AV26</f>
        <v>0.85</v>
      </c>
      <c r="AX26" s="7"/>
      <c r="AY26" s="7">
        <f>SUM(AS22,AV26)</f>
        <v>1.7</v>
      </c>
      <c r="AZ26" s="10"/>
      <c r="BC26" s="6">
        <f>SUM(BF25:BF26)</f>
        <v>1.7</v>
      </c>
      <c r="BD26" s="7"/>
      <c r="BE26" s="7"/>
      <c r="BF26" s="36">
        <f>'asgn vol'!BF26/targets!BF26</f>
        <v>0.85</v>
      </c>
      <c r="BG26" s="9" t="s">
        <v>9</v>
      </c>
      <c r="BH26" s="8"/>
      <c r="BI26" s="36">
        <f>'asgn vol'!BI26/targets!BI26</f>
        <v>1.0074675766926999</v>
      </c>
      <c r="BJ26" s="36">
        <f>'asgn vol'!BJ26/targets!BJ26</f>
        <v>0.85</v>
      </c>
      <c r="BL26" s="7"/>
      <c r="BM26" s="7">
        <f>SUM(BG22,BJ26)</f>
        <v>1.7</v>
      </c>
      <c r="BN26" s="10"/>
    </row>
    <row r="27" spans="3:66" x14ac:dyDescent="0.25">
      <c r="AA27" s="6"/>
      <c r="AB27" s="7"/>
      <c r="AC27" s="7"/>
      <c r="AF27" s="8"/>
      <c r="AG27" s="7"/>
      <c r="AH27" s="7"/>
      <c r="AI27" s="7"/>
      <c r="AJ27" s="7"/>
      <c r="AK27" s="7"/>
      <c r="AL27" s="10"/>
      <c r="AO27" s="6"/>
      <c r="AP27" s="7"/>
      <c r="AQ27" s="7"/>
      <c r="AT27" s="8"/>
      <c r="AU27" s="7"/>
      <c r="AV27" s="7"/>
      <c r="AW27" s="7"/>
      <c r="AX27" s="7"/>
      <c r="AY27" s="7"/>
      <c r="AZ27" s="10"/>
      <c r="BC27" s="6"/>
      <c r="BD27" s="7"/>
      <c r="BE27" s="7"/>
      <c r="BH27" s="8"/>
      <c r="BI27" s="7"/>
      <c r="BJ27" s="7"/>
      <c r="BK27" s="7"/>
      <c r="BL27" s="7"/>
      <c r="BM27" s="7"/>
      <c r="BN27" s="10"/>
    </row>
    <row r="28" spans="3:66" x14ac:dyDescent="0.25">
      <c r="AA28" s="6"/>
      <c r="AB28" s="7"/>
      <c r="AC28" s="7"/>
      <c r="AD28" s="7"/>
      <c r="AE28" s="7"/>
      <c r="AF28" s="8"/>
      <c r="AG28" s="7"/>
      <c r="AH28" s="7"/>
      <c r="AI28" s="7"/>
      <c r="AJ28" s="7"/>
      <c r="AK28" s="7"/>
      <c r="AL28" s="10"/>
      <c r="AO28" s="6"/>
      <c r="AP28" s="7"/>
      <c r="AQ28" s="7"/>
      <c r="AR28" s="7"/>
      <c r="AS28" s="7"/>
      <c r="AT28" s="8"/>
      <c r="AU28" s="7"/>
      <c r="AV28" s="7"/>
      <c r="AW28" s="7"/>
      <c r="AX28" s="7"/>
      <c r="AY28" s="7"/>
      <c r="AZ28" s="10"/>
      <c r="BC28" s="6"/>
      <c r="BD28" s="7"/>
      <c r="BE28" s="7"/>
      <c r="BF28" s="7"/>
      <c r="BG28" s="7"/>
      <c r="BH28" s="8"/>
      <c r="BI28" s="7"/>
      <c r="BJ28" s="7"/>
      <c r="BK28" s="7"/>
      <c r="BL28" s="7"/>
      <c r="BM28" s="7"/>
      <c r="BN28" s="10"/>
    </row>
    <row r="29" spans="3:66" x14ac:dyDescent="0.25">
      <c r="AA29" s="16"/>
      <c r="AB29" s="17"/>
      <c r="AC29" s="17"/>
      <c r="AD29" s="17">
        <f>SUM(AH23,AD22,AD26)</f>
        <v>1.78958333333335</v>
      </c>
      <c r="AE29" s="22" t="s">
        <v>10</v>
      </c>
      <c r="AF29" s="18"/>
      <c r="AG29" s="22" t="s">
        <v>12</v>
      </c>
      <c r="AH29" s="17">
        <f>SUM(AG26:AH26)</f>
        <v>1.9999999999999987</v>
      </c>
      <c r="AI29" s="17"/>
      <c r="AJ29" s="17"/>
      <c r="AK29" s="17"/>
      <c r="AL29" s="19"/>
      <c r="AO29" s="16"/>
      <c r="AP29" s="17"/>
      <c r="AQ29" s="17"/>
      <c r="AR29" s="17">
        <f>SUM(AV23,AR22,AR26)</f>
        <v>1.8924999999999841</v>
      </c>
      <c r="AS29" s="22" t="s">
        <v>10</v>
      </c>
      <c r="AT29" s="18"/>
      <c r="AU29" s="22" t="s">
        <v>12</v>
      </c>
      <c r="AV29" s="17">
        <f>SUM(AU26:AV26)</f>
        <v>1.7671875000000274</v>
      </c>
      <c r="AW29" s="17"/>
      <c r="AX29" s="17"/>
      <c r="AY29" s="17"/>
      <c r="AZ29" s="19"/>
      <c r="BC29" s="16"/>
      <c r="BD29" s="17"/>
      <c r="BE29" s="17"/>
      <c r="BF29" s="17">
        <f>SUM(BJ23,BF22,BF26)</f>
        <v>1.769514786219748</v>
      </c>
      <c r="BG29" s="22" t="s">
        <v>10</v>
      </c>
      <c r="BH29" s="18"/>
      <c r="BI29" s="22" t="s">
        <v>12</v>
      </c>
      <c r="BJ29" s="17">
        <f>SUM(BI26:BJ26)</f>
        <v>1.8574675766927</v>
      </c>
      <c r="BK29" s="17"/>
      <c r="BL29" s="17"/>
      <c r="BM29" s="17"/>
      <c r="BN29" s="19"/>
    </row>
    <row r="30" spans="3:66" x14ac:dyDescent="0.25">
      <c r="C30" s="2"/>
      <c r="D30" s="3"/>
      <c r="E30" s="3"/>
      <c r="F30" s="3"/>
      <c r="G30" s="3">
        <f>F31-F29</f>
        <v>1.7</v>
      </c>
      <c r="H30" s="14">
        <v>223</v>
      </c>
      <c r="I30" s="3"/>
      <c r="J30" s="3"/>
      <c r="K30" s="3"/>
      <c r="L30" s="3"/>
      <c r="M30" s="3"/>
      <c r="N30" s="5"/>
      <c r="O30" s="2"/>
      <c r="P30" s="3"/>
      <c r="Q30" s="3"/>
      <c r="R30" s="3"/>
      <c r="S30" s="3"/>
      <c r="T30" s="14">
        <v>114</v>
      </c>
      <c r="U30" s="3">
        <f>V29-V31</f>
        <v>-1.7</v>
      </c>
      <c r="V30" s="3"/>
      <c r="W30" s="3"/>
      <c r="X30" s="3"/>
      <c r="Y30" s="3"/>
      <c r="Z30" s="5"/>
      <c r="AA30" s="2"/>
      <c r="AB30" s="3"/>
      <c r="AC30" s="3"/>
      <c r="AD30" s="3"/>
      <c r="AE30" s="30">
        <f>AD31-AD29</f>
        <v>0.76041666666664987</v>
      </c>
      <c r="AF30" s="4"/>
      <c r="AG30" s="30">
        <f>AH29-AH31</f>
        <v>-0.66875000000001128</v>
      </c>
      <c r="AH30" s="3"/>
      <c r="AI30" s="3"/>
      <c r="AJ30" s="3"/>
      <c r="AK30" s="3"/>
      <c r="AL30" s="5"/>
      <c r="AM30" s="2"/>
      <c r="AN30" s="3"/>
      <c r="AO30" s="2"/>
      <c r="AP30" s="3"/>
      <c r="AQ30" s="3"/>
      <c r="AR30" s="3"/>
      <c r="AS30" s="30">
        <f>AR31-AR29</f>
        <v>0.65750000000001574</v>
      </c>
      <c r="AT30" s="4"/>
      <c r="AU30" s="30">
        <f>AV29-AV31</f>
        <v>-0.78281249999997238</v>
      </c>
      <c r="AV30" s="3"/>
      <c r="AW30" s="3"/>
      <c r="AX30" s="3"/>
      <c r="AY30" s="3"/>
      <c r="AZ30" s="5"/>
      <c r="BA30" s="2"/>
      <c r="BB30" s="3"/>
      <c r="BC30" s="2"/>
      <c r="BD30" s="3"/>
      <c r="BE30" s="3"/>
      <c r="BF30" s="3"/>
      <c r="BG30" s="30">
        <f>BF31-BF29</f>
        <v>0.92458592949678131</v>
      </c>
      <c r="BH30" s="4"/>
      <c r="BI30" s="30">
        <f>BJ29-BJ31</f>
        <v>-0.76641640420363677</v>
      </c>
      <c r="BJ30" s="3"/>
      <c r="BK30" s="3"/>
      <c r="BL30" s="3"/>
      <c r="BM30" s="3"/>
      <c r="BN30" s="5"/>
    </row>
    <row r="31" spans="3:66" x14ac:dyDescent="0.25">
      <c r="C31" s="6"/>
      <c r="D31" s="7"/>
      <c r="E31" s="7"/>
      <c r="F31" s="7">
        <f>SUM(F34:G34)</f>
        <v>1.7</v>
      </c>
      <c r="G31" s="12" t="s">
        <v>10</v>
      </c>
      <c r="H31" s="23" t="s">
        <v>20</v>
      </c>
      <c r="I31" s="12"/>
      <c r="J31" s="7"/>
      <c r="K31" s="7"/>
      <c r="L31" s="7"/>
      <c r="M31" s="7"/>
      <c r="N31" s="10"/>
      <c r="O31" s="6"/>
      <c r="P31" s="7"/>
      <c r="Q31" s="7"/>
      <c r="R31" s="7"/>
      <c r="S31" s="12"/>
      <c r="T31" s="23" t="s">
        <v>19</v>
      </c>
      <c r="U31" s="12" t="s">
        <v>12</v>
      </c>
      <c r="V31" s="7">
        <f>SUM(R37,V34)</f>
        <v>1.7</v>
      </c>
      <c r="W31" s="7"/>
      <c r="X31" s="7"/>
      <c r="Y31" s="7"/>
      <c r="Z31" s="10"/>
      <c r="AA31" s="6"/>
      <c r="AB31" s="7"/>
      <c r="AC31" s="7"/>
      <c r="AD31" s="7">
        <f>SUM(AC34:AE34)</f>
        <v>2.5499999999999998</v>
      </c>
      <c r="AE31" s="12" t="s">
        <v>10</v>
      </c>
      <c r="AF31" s="8"/>
      <c r="AG31" s="12" t="s">
        <v>12</v>
      </c>
      <c r="AH31" s="7">
        <f>SUM(AD37,AH38,AH33)</f>
        <v>2.6687500000000099</v>
      </c>
      <c r="AI31" s="7"/>
      <c r="AJ31" s="7"/>
      <c r="AK31" s="7"/>
      <c r="AL31" s="10"/>
      <c r="AM31" s="6"/>
      <c r="AN31" s="7"/>
      <c r="AO31" s="6"/>
      <c r="AP31" s="7"/>
      <c r="AQ31" s="7"/>
      <c r="AR31" s="7">
        <f>SUM(AQ34:AS34)</f>
        <v>2.5499999999999998</v>
      </c>
      <c r="AS31" s="12" t="s">
        <v>10</v>
      </c>
      <c r="AT31" s="8"/>
      <c r="AU31" s="12" t="s">
        <v>12</v>
      </c>
      <c r="AV31" s="7">
        <f>SUM(AR37,AV38,AV33)</f>
        <v>2.5499999999999998</v>
      </c>
      <c r="AW31" s="7"/>
      <c r="AX31" s="7"/>
      <c r="AY31" s="7"/>
      <c r="AZ31" s="10"/>
      <c r="BA31" s="6"/>
      <c r="BB31" s="7"/>
      <c r="BC31" s="6"/>
      <c r="BD31" s="7"/>
      <c r="BE31" s="7"/>
      <c r="BF31" s="7">
        <f>SUM(BE34:BG34)</f>
        <v>2.6941007157165293</v>
      </c>
      <c r="BG31" s="12" t="s">
        <v>10</v>
      </c>
      <c r="BH31" s="8"/>
      <c r="BI31" s="12" t="s">
        <v>12</v>
      </c>
      <c r="BJ31" s="7">
        <f>SUM(BF37,BJ38,BJ33)</f>
        <v>2.6238839808963368</v>
      </c>
      <c r="BK31" s="7"/>
      <c r="BL31" s="7"/>
      <c r="BM31" s="7"/>
      <c r="BN31" s="10"/>
    </row>
    <row r="32" spans="3:66" x14ac:dyDescent="0.25">
      <c r="C32" s="6"/>
      <c r="D32" s="7"/>
      <c r="E32" s="7"/>
      <c r="F32" s="7"/>
      <c r="G32" s="27">
        <v>650</v>
      </c>
      <c r="H32" s="23" t="s">
        <v>20</v>
      </c>
      <c r="I32" s="7"/>
      <c r="J32" s="7"/>
      <c r="K32" s="7"/>
      <c r="L32" s="7"/>
      <c r="M32" s="7"/>
      <c r="N32" s="10"/>
      <c r="O32" s="6"/>
      <c r="P32" s="7"/>
      <c r="Q32" s="7"/>
      <c r="R32" s="7"/>
      <c r="S32" s="7"/>
      <c r="T32" s="23" t="s">
        <v>19</v>
      </c>
      <c r="U32" s="27">
        <v>490</v>
      </c>
      <c r="V32" s="7"/>
      <c r="W32" s="7"/>
      <c r="X32" s="7"/>
      <c r="Y32" s="7"/>
      <c r="Z32" s="10"/>
      <c r="AA32" s="6"/>
      <c r="AB32" s="7"/>
      <c r="AC32" s="7"/>
      <c r="AD32" s="7"/>
      <c r="AE32" s="7"/>
      <c r="AF32" s="8"/>
      <c r="AG32" s="7"/>
      <c r="AH32" s="7"/>
      <c r="AI32" s="7"/>
      <c r="AJ32" s="7"/>
      <c r="AK32" s="7"/>
      <c r="AL32" s="10"/>
      <c r="AM32" s="6"/>
      <c r="AN32" s="7"/>
      <c r="AO32" s="6"/>
      <c r="AP32" s="7"/>
      <c r="AQ32" s="7"/>
      <c r="AR32" s="7"/>
      <c r="AS32" s="7"/>
      <c r="AT32" s="8"/>
      <c r="AU32" s="7"/>
      <c r="AV32" s="7"/>
      <c r="AW32" s="7"/>
      <c r="AX32" s="7"/>
      <c r="AY32" s="7"/>
      <c r="AZ32" s="10"/>
      <c r="BA32" s="6"/>
      <c r="BB32" s="7"/>
      <c r="BC32" s="6"/>
      <c r="BD32" s="7"/>
      <c r="BE32" s="7"/>
      <c r="BF32" s="7"/>
      <c r="BG32" s="7"/>
      <c r="BH32" s="8"/>
      <c r="BI32" s="7"/>
      <c r="BJ32" s="7"/>
      <c r="BK32" s="7"/>
      <c r="BL32" s="7"/>
      <c r="BM32" s="7"/>
      <c r="BN32" s="10"/>
    </row>
    <row r="33" spans="2:67" x14ac:dyDescent="0.25">
      <c r="C33" s="6"/>
      <c r="D33" s="7"/>
      <c r="E33" s="7"/>
      <c r="F33" s="7"/>
      <c r="G33" s="7"/>
      <c r="H33" s="23" t="s">
        <v>20</v>
      </c>
      <c r="I33" s="9"/>
      <c r="J33" s="7"/>
      <c r="K33" s="7"/>
      <c r="L33" s="7"/>
      <c r="M33" s="7"/>
      <c r="N33" s="10"/>
      <c r="O33" s="6"/>
      <c r="P33" s="7"/>
      <c r="Q33" s="7"/>
      <c r="R33" s="7"/>
      <c r="S33" s="7"/>
      <c r="T33" s="23" t="s">
        <v>19</v>
      </c>
      <c r="W33" s="7"/>
      <c r="X33" s="7"/>
      <c r="Y33" s="7"/>
      <c r="Z33" s="10"/>
      <c r="AA33" s="6"/>
      <c r="AB33" s="7"/>
      <c r="AC33" s="7"/>
      <c r="AD33" s="7"/>
      <c r="AE33" s="7"/>
      <c r="AF33" s="8"/>
      <c r="AG33" s="9" t="s">
        <v>14</v>
      </c>
      <c r="AH33" s="36">
        <f>'asgn vol'!AH33/targets!AH33</f>
        <v>0.85</v>
      </c>
      <c r="AI33" s="7"/>
      <c r="AJ33" s="7"/>
      <c r="AK33" s="7"/>
      <c r="AL33" s="10"/>
      <c r="AM33" s="6"/>
      <c r="AN33" s="7"/>
      <c r="AO33" s="6"/>
      <c r="AP33" s="7"/>
      <c r="AQ33" s="7"/>
      <c r="AR33" s="7"/>
      <c r="AS33" s="7"/>
      <c r="AT33" s="8"/>
      <c r="AU33" s="9" t="s">
        <v>14</v>
      </c>
      <c r="AV33" s="36">
        <f>'asgn vol'!AV33/targets!AV33</f>
        <v>0.85</v>
      </c>
      <c r="AW33" s="7"/>
      <c r="AX33" s="7"/>
      <c r="AY33" s="7"/>
      <c r="AZ33" s="10"/>
      <c r="BA33" s="6"/>
      <c r="BB33" s="7"/>
      <c r="BC33" s="6"/>
      <c r="BD33" s="7"/>
      <c r="BE33" s="7"/>
      <c r="BF33" s="7"/>
      <c r="BG33" s="7"/>
      <c r="BH33" s="8"/>
      <c r="BI33" s="9" t="s">
        <v>14</v>
      </c>
      <c r="BJ33" s="36">
        <f>'asgn vol'!BJ33/targets!BJ33</f>
        <v>0.85000162520434397</v>
      </c>
      <c r="BK33" s="7"/>
      <c r="BL33" s="7"/>
      <c r="BM33" s="7"/>
      <c r="BN33" s="10"/>
    </row>
    <row r="34" spans="2:67" x14ac:dyDescent="0.25">
      <c r="C34" s="6">
        <f>SUM(I38,J34,F34)</f>
        <v>1.999999999999996</v>
      </c>
      <c r="D34" s="7"/>
      <c r="F34" s="36">
        <f>'asgn vol'!F34/targets!F34</f>
        <v>0.85</v>
      </c>
      <c r="G34" s="36">
        <f>'asgn vol'!G34/targets!G34</f>
        <v>0.85</v>
      </c>
      <c r="H34" s="23" t="s">
        <v>20</v>
      </c>
      <c r="I34" s="9" t="s">
        <v>15</v>
      </c>
      <c r="J34" s="36">
        <f>'asgn vol'!J34/targets!J34</f>
        <v>1.1499999999999959</v>
      </c>
      <c r="K34" s="7"/>
      <c r="L34" s="7"/>
      <c r="M34" s="7">
        <f>SUM(J33:J35)</f>
        <v>1.999999999999996</v>
      </c>
      <c r="N34" s="10"/>
      <c r="O34" s="6">
        <f>SUM(U38,V35,Q34)</f>
        <v>1.9395833333333123</v>
      </c>
      <c r="P34" s="7"/>
      <c r="Q34" s="11"/>
      <c r="R34" s="11"/>
      <c r="S34" s="11"/>
      <c r="T34" s="23" t="s">
        <v>19</v>
      </c>
      <c r="U34" s="9" t="s">
        <v>14</v>
      </c>
      <c r="V34" s="36">
        <f>'asgn vol'!V34/targets!V34</f>
        <v>0.85</v>
      </c>
      <c r="W34" s="7"/>
      <c r="X34" s="7"/>
      <c r="Y34" s="7">
        <f>SUM(V34:V35)</f>
        <v>1.9395833333333123</v>
      </c>
      <c r="Z34" s="10"/>
      <c r="AA34" s="6">
        <f>SUM(AG38,AH34,AC34)</f>
        <v>2.9308333333333461</v>
      </c>
      <c r="AB34" s="7"/>
      <c r="AC34" s="36">
        <f>'asgn vol'!AC34/targets!AC34</f>
        <v>0.85</v>
      </c>
      <c r="AD34" s="36">
        <f>'asgn vol'!AD34/targets!AD34</f>
        <v>0.85</v>
      </c>
      <c r="AE34" s="36">
        <f>'asgn vol'!AE34/targets!AE34</f>
        <v>0.85</v>
      </c>
      <c r="AF34" s="8"/>
      <c r="AG34" s="9" t="s">
        <v>15</v>
      </c>
      <c r="AH34" s="36">
        <f>'asgn vol'!AH34/targets!AH34</f>
        <v>0.93083333333334806</v>
      </c>
      <c r="AI34" s="7"/>
      <c r="AJ34" s="7"/>
      <c r="AK34" s="7">
        <f>SUM(AH33:AH35)</f>
        <v>2.9308333333333456</v>
      </c>
      <c r="AL34" s="10"/>
      <c r="AM34" s="6">
        <f>SUM(AU38,AV34,AQ34)</f>
        <v>2.5499999999999998</v>
      </c>
      <c r="AN34" s="7"/>
      <c r="AO34" s="6"/>
      <c r="AP34" s="7"/>
      <c r="AQ34" s="36">
        <f>'asgn vol'!AQ34/targets!AQ34</f>
        <v>0.85</v>
      </c>
      <c r="AR34" s="36">
        <f>'asgn vol'!AR34/targets!AR34</f>
        <v>0.85</v>
      </c>
      <c r="AS34" s="36">
        <f>'asgn vol'!AS34/targets!AS34</f>
        <v>0.85</v>
      </c>
      <c r="AT34" s="8"/>
      <c r="AU34" s="9" t="s">
        <v>15</v>
      </c>
      <c r="AV34" s="36">
        <f>'asgn vol'!AV34/targets!AV34</f>
        <v>0.85</v>
      </c>
      <c r="AW34" s="7"/>
      <c r="AX34" s="7"/>
      <c r="AY34" s="7">
        <f>SUM(AV33:AV35)</f>
        <v>2.8499999999999934</v>
      </c>
      <c r="AZ34" s="10"/>
      <c r="BA34" s="6">
        <f>SUM(BI38,BJ34,BE34)</f>
        <v>3.02868523045277</v>
      </c>
      <c r="BB34" s="7"/>
      <c r="BC34" s="6"/>
      <c r="BD34" s="7"/>
      <c r="BE34" s="36">
        <f>'asgn vol'!BE34/targets!BE34</f>
        <v>0.85096681694645493</v>
      </c>
      <c r="BF34" s="36">
        <f>'asgn vol'!BF34/targets!BF34</f>
        <v>0.98931147531171115</v>
      </c>
      <c r="BG34" s="36">
        <f>'asgn vol'!BG34/targets!BG34</f>
        <v>0.85382242345836301</v>
      </c>
      <c r="BH34" s="8"/>
      <c r="BI34" s="9" t="s">
        <v>15</v>
      </c>
      <c r="BJ34" s="36">
        <f>'asgn vol'!BJ34/targets!BJ34</f>
        <v>1.027909641349275</v>
      </c>
      <c r="BK34" s="7"/>
      <c r="BL34" s="7"/>
      <c r="BM34" s="7">
        <f>SUM(BJ33:BJ35)</f>
        <v>2.9219441163610691</v>
      </c>
      <c r="BN34" s="10"/>
    </row>
    <row r="35" spans="2:67" x14ac:dyDescent="0.25">
      <c r="C35" s="21" t="s">
        <v>15</v>
      </c>
      <c r="D35" s="7"/>
      <c r="F35" s="12">
        <v>8</v>
      </c>
      <c r="G35" s="12">
        <v>9</v>
      </c>
      <c r="H35" s="23" t="s">
        <v>20</v>
      </c>
      <c r="I35" s="9" t="s">
        <v>16</v>
      </c>
      <c r="J35" s="36">
        <f>'asgn vol'!J35/targets!J35</f>
        <v>0.85</v>
      </c>
      <c r="K35" s="7"/>
      <c r="L35" s="7"/>
      <c r="M35" s="20" t="s">
        <v>15</v>
      </c>
      <c r="N35" s="30">
        <f>M34-O34</f>
        <v>6.041666666668366E-2</v>
      </c>
      <c r="O35" s="21" t="s">
        <v>15</v>
      </c>
      <c r="P35" s="7"/>
      <c r="Q35" s="12"/>
      <c r="R35" s="12"/>
      <c r="S35" s="12"/>
      <c r="T35" s="23" t="s">
        <v>19</v>
      </c>
      <c r="U35" s="9" t="s">
        <v>15</v>
      </c>
      <c r="V35" s="36">
        <f>'asgn vol'!V35/targets!V35</f>
        <v>1.0895833333333125</v>
      </c>
      <c r="W35" s="7"/>
      <c r="X35" s="7"/>
      <c r="Y35" s="20" t="s">
        <v>15</v>
      </c>
      <c r="Z35" s="30">
        <f>Y34-AA34</f>
        <v>-0.99125000000003372</v>
      </c>
      <c r="AA35" s="21" t="s">
        <v>15</v>
      </c>
      <c r="AB35" s="7"/>
      <c r="AC35" s="12">
        <v>8</v>
      </c>
      <c r="AD35" s="12" t="s">
        <v>10</v>
      </c>
      <c r="AE35" s="12">
        <v>9</v>
      </c>
      <c r="AF35" s="8"/>
      <c r="AG35" s="9" t="s">
        <v>16</v>
      </c>
      <c r="AH35" s="36">
        <f>'asgn vol'!AH35/targets!AH35</f>
        <v>1.1499999999999979</v>
      </c>
      <c r="AI35" s="7"/>
      <c r="AJ35" s="7"/>
      <c r="AK35" s="20" t="s">
        <v>15</v>
      </c>
      <c r="AL35" s="30">
        <f>AK34-AM34</f>
        <v>0.38083333333334579</v>
      </c>
      <c r="AM35" s="21" t="s">
        <v>15</v>
      </c>
      <c r="AN35" s="20"/>
      <c r="AO35" s="21"/>
      <c r="AP35" s="7"/>
      <c r="AQ35" s="12">
        <v>8</v>
      </c>
      <c r="AR35" s="12" t="s">
        <v>10</v>
      </c>
      <c r="AS35" s="12">
        <v>9</v>
      </c>
      <c r="AT35" s="8"/>
      <c r="AU35" s="9" t="s">
        <v>16</v>
      </c>
      <c r="AV35" s="36">
        <f>'asgn vol'!AV35/targets!AV35</f>
        <v>1.1499999999999935</v>
      </c>
      <c r="AW35" s="7"/>
      <c r="AX35" s="7"/>
      <c r="AY35" s="20" t="s">
        <v>15</v>
      </c>
      <c r="AZ35" s="30">
        <f>AY34-BA34</f>
        <v>-0.17868523045277662</v>
      </c>
      <c r="BA35" s="21" t="s">
        <v>15</v>
      </c>
      <c r="BB35" s="20"/>
      <c r="BC35" s="21"/>
      <c r="BD35" s="7"/>
      <c r="BE35" s="12">
        <v>8</v>
      </c>
      <c r="BF35" s="12" t="s">
        <v>10</v>
      </c>
      <c r="BG35" s="12">
        <v>9</v>
      </c>
      <c r="BH35" s="8"/>
      <c r="BI35" s="9" t="s">
        <v>16</v>
      </c>
      <c r="BJ35" s="36">
        <f>'asgn vol'!BJ35/targets!BJ35</f>
        <v>1.04403284980745</v>
      </c>
      <c r="BK35" s="7"/>
      <c r="BL35" s="7"/>
      <c r="BM35" s="20" t="s">
        <v>15</v>
      </c>
      <c r="BN35" s="30">
        <f>BM34-BO34</f>
        <v>2.9219441163610691</v>
      </c>
    </row>
    <row r="36" spans="2:67" x14ac:dyDescent="0.25">
      <c r="B36" s="14">
        <v>508</v>
      </c>
      <c r="C36" s="13"/>
      <c r="D36" s="8"/>
      <c r="E36" s="8"/>
      <c r="F36" s="8"/>
      <c r="G36" s="8"/>
      <c r="H36" s="14">
        <v>224</v>
      </c>
      <c r="I36" s="8"/>
      <c r="J36" s="8"/>
      <c r="K36" s="8"/>
      <c r="L36" s="8"/>
      <c r="M36" s="8"/>
      <c r="N36" s="15"/>
      <c r="O36" s="13"/>
      <c r="P36" s="8"/>
      <c r="Q36" s="8"/>
      <c r="R36" s="8"/>
      <c r="S36" s="8"/>
      <c r="T36" s="14">
        <v>113</v>
      </c>
      <c r="U36" s="8"/>
      <c r="V36" s="8"/>
      <c r="W36" s="8"/>
      <c r="X36" s="8"/>
      <c r="Y36" s="8"/>
      <c r="Z36" s="15"/>
      <c r="AA36" s="13"/>
      <c r="AB36" s="8"/>
      <c r="AC36" s="8"/>
      <c r="AD36" s="8"/>
      <c r="AE36" s="8"/>
      <c r="AF36" s="14">
        <v>509</v>
      </c>
      <c r="AG36" s="8"/>
      <c r="AH36" s="8"/>
      <c r="AI36" s="8"/>
      <c r="AJ36" s="8"/>
      <c r="AK36" s="8"/>
      <c r="AL36" s="15"/>
      <c r="AM36" s="13"/>
      <c r="AN36" s="8"/>
      <c r="AO36" s="13"/>
      <c r="AP36" s="8"/>
      <c r="AQ36" s="8"/>
      <c r="AR36" s="8"/>
      <c r="AS36" s="8"/>
      <c r="AT36" s="14">
        <v>510</v>
      </c>
      <c r="AU36" s="8"/>
      <c r="AV36" s="8"/>
      <c r="AW36" s="8"/>
      <c r="AX36" s="8"/>
      <c r="AY36" s="8"/>
      <c r="AZ36" s="15"/>
      <c r="BA36" s="13"/>
      <c r="BB36" s="8"/>
      <c r="BC36" s="13"/>
      <c r="BD36" s="8"/>
      <c r="BE36" s="8"/>
      <c r="BF36" s="8"/>
      <c r="BG36" s="8"/>
      <c r="BH36" s="14">
        <v>511</v>
      </c>
      <c r="BI36" s="8"/>
      <c r="BJ36" s="8"/>
      <c r="BK36" s="8"/>
      <c r="BL36" s="8"/>
      <c r="BM36" s="8"/>
      <c r="BN36" s="15"/>
      <c r="BO36" s="14">
        <v>512</v>
      </c>
    </row>
    <row r="37" spans="2:67" x14ac:dyDescent="0.25">
      <c r="C37" s="21" t="s">
        <v>8</v>
      </c>
      <c r="D37" s="7"/>
      <c r="E37" s="7"/>
      <c r="F37" s="36">
        <f>'asgn vol'!F37/targets!F37</f>
        <v>0.97967842371584379</v>
      </c>
      <c r="G37" s="9" t="s">
        <v>8</v>
      </c>
      <c r="H37" s="23" t="s">
        <v>20</v>
      </c>
      <c r="I37" s="12"/>
      <c r="J37" s="12"/>
      <c r="K37" s="12"/>
      <c r="L37" s="7"/>
      <c r="M37" s="20" t="s">
        <v>8</v>
      </c>
      <c r="N37" s="30">
        <f>O38-M38</f>
        <v>8.0551338986574628E-2</v>
      </c>
      <c r="O37" s="21" t="s">
        <v>8</v>
      </c>
      <c r="P37" s="7"/>
      <c r="Q37" s="7"/>
      <c r="R37" s="36">
        <f>'asgn vol'!R37/targets!R37</f>
        <v>0.85</v>
      </c>
      <c r="S37" s="9" t="s">
        <v>7</v>
      </c>
      <c r="T37" s="23" t="s">
        <v>19</v>
      </c>
      <c r="U37" s="12" t="s">
        <v>11</v>
      </c>
      <c r="V37" s="12" t="s">
        <v>13</v>
      </c>
      <c r="X37" s="7"/>
      <c r="Y37" s="20" t="s">
        <v>8</v>
      </c>
      <c r="Z37" s="30">
        <f>AA38-Y38</f>
        <v>1.0771498438122253</v>
      </c>
      <c r="AA37" s="21" t="s">
        <v>8</v>
      </c>
      <c r="AB37" s="7"/>
      <c r="AC37" s="7"/>
      <c r="AD37" s="36">
        <f>'asgn vol'!AD37/targets!AD37</f>
        <v>0.85</v>
      </c>
      <c r="AE37" s="9" t="s">
        <v>7</v>
      </c>
      <c r="AF37" s="8"/>
      <c r="AG37" s="12" t="s">
        <v>11</v>
      </c>
      <c r="AH37" s="12" t="s">
        <v>12</v>
      </c>
      <c r="AI37" s="12" t="s">
        <v>13</v>
      </c>
      <c r="AJ37" s="7"/>
      <c r="AK37" s="20" t="s">
        <v>8</v>
      </c>
      <c r="AL37" s="30">
        <f>AM38-AK38</f>
        <v>-0.13195960870932089</v>
      </c>
      <c r="AM37" s="21" t="s">
        <v>8</v>
      </c>
      <c r="AN37" s="20"/>
      <c r="AO37" s="21"/>
      <c r="AP37" s="7"/>
      <c r="AQ37" s="7"/>
      <c r="AR37" s="36">
        <f>'asgn vol'!AR37/targets!AR37</f>
        <v>0.85</v>
      </c>
      <c r="AS37" s="9" t="s">
        <v>7</v>
      </c>
      <c r="AT37" s="8"/>
      <c r="AU37" s="12" t="s">
        <v>11</v>
      </c>
      <c r="AV37" s="12" t="s">
        <v>12</v>
      </c>
      <c r="AW37" s="12" t="s">
        <v>13</v>
      </c>
      <c r="AX37" s="7"/>
      <c r="AY37" s="20" t="s">
        <v>8</v>
      </c>
      <c r="AZ37" s="30">
        <f>BA38-AY38</f>
        <v>6.3369355416809992E-2</v>
      </c>
      <c r="BA37" s="21" t="s">
        <v>8</v>
      </c>
      <c r="BB37" s="20"/>
      <c r="BC37" s="21"/>
      <c r="BD37" s="7"/>
      <c r="BE37" s="7"/>
      <c r="BF37" s="36">
        <f>'asgn vol'!BF37/targets!BF37</f>
        <v>0.87471627050432599</v>
      </c>
      <c r="BG37" s="9" t="s">
        <v>7</v>
      </c>
      <c r="BH37" s="8"/>
      <c r="BI37" s="12" t="s">
        <v>11</v>
      </c>
      <c r="BJ37" s="12" t="s">
        <v>12</v>
      </c>
      <c r="BK37" s="12" t="s">
        <v>13</v>
      </c>
      <c r="BL37" s="7"/>
      <c r="BM37" s="20" t="s">
        <v>8</v>
      </c>
      <c r="BN37" s="30">
        <f>BO38-BM38</f>
        <v>-2.948051279792371</v>
      </c>
    </row>
    <row r="38" spans="2:67" x14ac:dyDescent="0.25">
      <c r="C38" s="6">
        <f>SUM(F37:F38)</f>
        <v>1.8296784237158437</v>
      </c>
      <c r="D38" s="7"/>
      <c r="E38" s="7"/>
      <c r="F38" s="36">
        <f>'asgn vol'!F38/targets!F38</f>
        <v>0.85</v>
      </c>
      <c r="G38" s="9" t="s">
        <v>9</v>
      </c>
      <c r="H38" s="23" t="s">
        <v>20</v>
      </c>
      <c r="I38" s="11"/>
      <c r="J38" s="11"/>
      <c r="K38" s="11"/>
      <c r="L38" s="7"/>
      <c r="M38" s="7">
        <f>SUM(G34,F37,K38)</f>
        <v>1.8296784237158437</v>
      </c>
      <c r="N38" s="10"/>
      <c r="O38" s="6">
        <f>SUM(R37:R39)</f>
        <v>1.9102297627024183</v>
      </c>
      <c r="P38" s="7"/>
      <c r="Q38" s="7"/>
      <c r="R38" s="36">
        <f>'asgn vol'!R38/targets!R38</f>
        <v>1.0602297627024182</v>
      </c>
      <c r="S38" s="9" t="s">
        <v>8</v>
      </c>
      <c r="T38" s="23" t="s">
        <v>19</v>
      </c>
      <c r="U38" s="36">
        <f>'asgn vol'!U38/targets!U38</f>
        <v>0.85</v>
      </c>
      <c r="V38" s="36">
        <f>'asgn vol'!V38/targets!V38</f>
        <v>0.85</v>
      </c>
      <c r="X38" s="7"/>
      <c r="Y38" s="7">
        <f>SUM(S34,R38,V38)</f>
        <v>1.9102297627024183</v>
      </c>
      <c r="Z38" s="10"/>
      <c r="AA38" s="6">
        <f>SUM(AD37:AD39)</f>
        <v>2.9873796065146436</v>
      </c>
      <c r="AB38" s="7"/>
      <c r="AC38" s="7"/>
      <c r="AD38" s="36">
        <f>'asgn vol'!AD38/targets!AD38</f>
        <v>1.0591134348374833</v>
      </c>
      <c r="AE38" s="9" t="s">
        <v>8</v>
      </c>
      <c r="AF38" s="8"/>
      <c r="AG38" s="36">
        <f>'asgn vol'!AG38/targets!AG38</f>
        <v>1.1499999999999979</v>
      </c>
      <c r="AH38" s="36">
        <f>'asgn vol'!AH38/targets!AH38</f>
        <v>0.96875000000000999</v>
      </c>
      <c r="AI38" s="36">
        <f>'asgn vol'!AI38/targets!AI38</f>
        <v>1.1499999999999901</v>
      </c>
      <c r="AJ38" s="7"/>
      <c r="AK38" s="7">
        <f>SUM(AE34,AD38,AI38)</f>
        <v>3.0591134348374736</v>
      </c>
      <c r="AL38" s="10"/>
      <c r="AM38" s="6">
        <f>SUM(AR37:AR39)</f>
        <v>2.9271538261281527</v>
      </c>
      <c r="AN38" s="7"/>
      <c r="AO38" s="6"/>
      <c r="AP38" s="7"/>
      <c r="AQ38" s="7"/>
      <c r="AR38" s="36">
        <f>'asgn vol'!AR38/targets!AR38</f>
        <v>0.92715382612816255</v>
      </c>
      <c r="AS38" s="9" t="s">
        <v>8</v>
      </c>
      <c r="AT38" s="8"/>
      <c r="AU38" s="36">
        <f>'asgn vol'!AU38/targets!AU38</f>
        <v>0.85</v>
      </c>
      <c r="AV38" s="36">
        <f>'asgn vol'!AV38/targets!AV38</f>
        <v>0.85</v>
      </c>
      <c r="AW38" s="36">
        <f>'asgn vol'!AW38/targets!AW38</f>
        <v>1.1499999999999901</v>
      </c>
      <c r="AX38" s="7"/>
      <c r="AY38" s="7">
        <f>SUM(AS34,AR38,AW38)</f>
        <v>2.9271538261281527</v>
      </c>
      <c r="AZ38" s="10"/>
      <c r="BA38" s="6">
        <f>SUM(BF37:BF39)</f>
        <v>2.9905231815449627</v>
      </c>
      <c r="BB38" s="7"/>
      <c r="BC38" s="6"/>
      <c r="BD38" s="7"/>
      <c r="BE38" s="7"/>
      <c r="BF38" s="36">
        <f>'asgn vol'!BF38/targets!BF38</f>
        <v>1.0208159723631833</v>
      </c>
      <c r="BG38" s="9" t="s">
        <v>8</v>
      </c>
      <c r="BH38" s="8"/>
      <c r="BI38" s="36">
        <f>'asgn vol'!BI38/targets!BI38</f>
        <v>1.14980877215704</v>
      </c>
      <c r="BJ38" s="36">
        <f>'asgn vol'!BJ38/targets!BJ38</f>
        <v>0.89916608518766661</v>
      </c>
      <c r="BK38" s="36">
        <f>'asgn vol'!BK38/targets!BK38</f>
        <v>1.073412883970825</v>
      </c>
      <c r="BL38" s="7"/>
      <c r="BM38" s="7">
        <f>SUM(BG34,BF38,BK38)</f>
        <v>2.948051279792371</v>
      </c>
      <c r="BN38" s="10"/>
    </row>
    <row r="39" spans="2:67" x14ac:dyDescent="0.25">
      <c r="C39" s="6"/>
      <c r="D39" s="7"/>
      <c r="E39" s="7"/>
      <c r="H39" s="23" t="s">
        <v>20</v>
      </c>
      <c r="I39" s="7"/>
      <c r="J39" s="7"/>
      <c r="K39" s="7"/>
      <c r="L39" s="7"/>
      <c r="M39" s="7"/>
      <c r="N39" s="10"/>
      <c r="O39" s="6"/>
      <c r="P39" s="7"/>
      <c r="Q39" s="7"/>
      <c r="R39" s="7"/>
      <c r="S39" s="9"/>
      <c r="T39" s="23" t="s">
        <v>19</v>
      </c>
      <c r="U39" s="7"/>
      <c r="V39" s="7"/>
      <c r="W39" s="7"/>
      <c r="X39" s="7"/>
      <c r="Y39" s="7"/>
      <c r="Z39" s="10"/>
      <c r="AA39" s="6"/>
      <c r="AB39" s="7"/>
      <c r="AC39" s="7"/>
      <c r="AD39" s="36">
        <f>'asgn vol'!AD39/targets!AD39</f>
        <v>1.07826617167716</v>
      </c>
      <c r="AE39" s="9" t="s">
        <v>9</v>
      </c>
      <c r="AF39" s="8"/>
      <c r="AG39" s="7"/>
      <c r="AH39" s="7"/>
      <c r="AI39" s="7"/>
      <c r="AJ39" s="7"/>
      <c r="AK39" s="7"/>
      <c r="AL39" s="10"/>
      <c r="AM39" s="6"/>
      <c r="AN39" s="7"/>
      <c r="AO39" s="6"/>
      <c r="AP39" s="7"/>
      <c r="AQ39" s="7"/>
      <c r="AR39" s="36">
        <f>'asgn vol'!AR39/targets!AR39</f>
        <v>1.1499999999999901</v>
      </c>
      <c r="AS39" s="9" t="s">
        <v>9</v>
      </c>
      <c r="AT39" s="8"/>
      <c r="AU39" s="7"/>
      <c r="AV39" s="7"/>
      <c r="AW39" s="7"/>
      <c r="AX39" s="7"/>
      <c r="AY39" s="7"/>
      <c r="AZ39" s="10"/>
      <c r="BA39" s="6"/>
      <c r="BB39" s="7"/>
      <c r="BC39" s="6"/>
      <c r="BD39" s="7"/>
      <c r="BE39" s="7"/>
      <c r="BF39" s="36">
        <f>'asgn vol'!BF39/targets!BF39</f>
        <v>1.0949909386774532</v>
      </c>
      <c r="BG39" s="9" t="s">
        <v>9</v>
      </c>
      <c r="BH39" s="8"/>
      <c r="BI39" s="7"/>
      <c r="BJ39" s="7"/>
      <c r="BK39" s="7"/>
      <c r="BL39" s="7"/>
      <c r="BM39" s="7"/>
      <c r="BN39" s="10"/>
    </row>
    <row r="40" spans="2:67" x14ac:dyDescent="0.25">
      <c r="C40" s="6"/>
      <c r="D40" s="7"/>
      <c r="E40" s="7"/>
      <c r="F40" s="7"/>
      <c r="G40" s="27">
        <v>890</v>
      </c>
      <c r="H40" s="23" t="s">
        <v>20</v>
      </c>
      <c r="I40" s="7"/>
      <c r="J40" s="7"/>
      <c r="K40" s="7"/>
      <c r="L40" s="7"/>
      <c r="M40" s="7"/>
      <c r="N40" s="10"/>
      <c r="O40" s="6"/>
      <c r="P40" s="7"/>
      <c r="Q40" s="7"/>
      <c r="R40" s="7"/>
      <c r="S40" s="7"/>
      <c r="T40" s="23" t="s">
        <v>19</v>
      </c>
      <c r="U40" s="27">
        <v>380</v>
      </c>
      <c r="V40" s="7"/>
      <c r="W40" s="7"/>
      <c r="X40" s="7"/>
      <c r="Y40" s="7"/>
      <c r="Z40" s="10"/>
      <c r="AA40" s="6"/>
      <c r="AB40" s="7"/>
      <c r="AC40" s="7"/>
      <c r="AD40" s="7"/>
      <c r="AE40" s="7"/>
      <c r="AF40" s="8"/>
      <c r="AG40" s="7"/>
      <c r="AH40" s="7"/>
      <c r="AI40" s="7"/>
      <c r="AJ40" s="7"/>
      <c r="AK40" s="7"/>
      <c r="AL40" s="10"/>
      <c r="AM40" s="6"/>
      <c r="AN40" s="7"/>
      <c r="AO40" s="6"/>
      <c r="AP40" s="7"/>
      <c r="AQ40" s="7"/>
      <c r="AR40" s="7"/>
      <c r="AS40" s="7"/>
      <c r="AT40" s="8"/>
      <c r="AU40" s="7"/>
      <c r="AV40" s="7"/>
      <c r="AW40" s="7"/>
      <c r="AX40" s="7"/>
      <c r="AY40" s="7"/>
      <c r="AZ40" s="10"/>
      <c r="BA40" s="6"/>
      <c r="BB40" s="7"/>
      <c r="BC40" s="6"/>
      <c r="BD40" s="7"/>
      <c r="BE40" s="7"/>
      <c r="BF40" s="7"/>
      <c r="BG40" s="7"/>
      <c r="BH40" s="8"/>
      <c r="BI40" s="7"/>
      <c r="BJ40" s="7"/>
      <c r="BK40" s="7"/>
      <c r="BL40" s="7"/>
      <c r="BM40" s="7"/>
      <c r="BN40" s="10"/>
    </row>
    <row r="41" spans="2:67" x14ac:dyDescent="0.25">
      <c r="C41" s="16"/>
      <c r="D41" s="17"/>
      <c r="E41" s="17"/>
      <c r="F41" s="17">
        <f>SUM(J35,F38)</f>
        <v>1.7</v>
      </c>
      <c r="G41" s="22" t="s">
        <v>10</v>
      </c>
      <c r="H41" s="14">
        <v>225</v>
      </c>
      <c r="I41" s="22"/>
      <c r="J41" s="17"/>
      <c r="K41" s="17"/>
      <c r="L41" s="17"/>
      <c r="M41" s="17"/>
      <c r="N41" s="19"/>
      <c r="O41" s="16"/>
      <c r="P41" s="17"/>
      <c r="Q41" s="17"/>
      <c r="R41" s="17"/>
      <c r="S41" s="22"/>
      <c r="T41" s="14">
        <v>112</v>
      </c>
      <c r="U41" s="22" t="s">
        <v>12</v>
      </c>
      <c r="V41" s="17">
        <f>SUM(U38:V38)</f>
        <v>1.7</v>
      </c>
      <c r="W41" s="17"/>
      <c r="X41" s="17"/>
      <c r="Y41" s="17"/>
      <c r="Z41" s="19"/>
      <c r="AA41" s="16"/>
      <c r="AB41" s="17"/>
      <c r="AC41" s="17"/>
      <c r="AD41" s="17">
        <f>SUM(AH35,AD34,AD39)</f>
        <v>3.078266171677158</v>
      </c>
      <c r="AE41" s="22" t="s">
        <v>10</v>
      </c>
      <c r="AF41" s="18"/>
      <c r="AG41" s="22" t="s">
        <v>12</v>
      </c>
      <c r="AH41" s="17">
        <f>SUM(AG38:AI38)</f>
        <v>3.268749999999998</v>
      </c>
      <c r="AI41" s="17"/>
      <c r="AJ41" s="17"/>
      <c r="AK41" s="17"/>
      <c r="AL41" s="19"/>
      <c r="AM41" s="16"/>
      <c r="AN41" s="17"/>
      <c r="AO41" s="16"/>
      <c r="AP41" s="17"/>
      <c r="AQ41" s="17"/>
      <c r="AR41" s="17">
        <f>SUM(AV35,AR34,AR39)</f>
        <v>3.1499999999999835</v>
      </c>
      <c r="AS41" s="22" t="s">
        <v>10</v>
      </c>
      <c r="AT41" s="18"/>
      <c r="AU41" s="22" t="s">
        <v>12</v>
      </c>
      <c r="AV41" s="17">
        <f>SUM(AU38:AW38)</f>
        <v>2.8499999999999899</v>
      </c>
      <c r="AW41" s="17"/>
      <c r="AX41" s="17"/>
      <c r="AY41" s="17"/>
      <c r="AZ41" s="19"/>
      <c r="BA41" s="16"/>
      <c r="BB41" s="17"/>
      <c r="BC41" s="16"/>
      <c r="BD41" s="17"/>
      <c r="BE41" s="17"/>
      <c r="BF41" s="17">
        <f>SUM(BJ35,BF34,BF39)</f>
        <v>3.1283352637966146</v>
      </c>
      <c r="BG41" s="22" t="s">
        <v>10</v>
      </c>
      <c r="BH41" s="18"/>
      <c r="BI41" s="22" t="s">
        <v>12</v>
      </c>
      <c r="BJ41" s="17">
        <f>SUM(BI38:BK38)</f>
        <v>3.1223877413155314</v>
      </c>
      <c r="BK41" s="17"/>
      <c r="BL41" s="17"/>
      <c r="BM41" s="17"/>
      <c r="BN41" s="19"/>
    </row>
    <row r="42" spans="2:67" x14ac:dyDescent="0.25">
      <c r="AA42" s="2"/>
      <c r="AB42" s="3"/>
      <c r="AC42" s="3"/>
      <c r="AD42" s="3"/>
      <c r="AE42" s="30">
        <f>AD43-AD41</f>
        <v>-0.13023288334284189</v>
      </c>
      <c r="AF42" s="4"/>
      <c r="AG42" s="30">
        <f>AH41-AH43</f>
        <v>0.41875000000000817</v>
      </c>
      <c r="AH42" s="3"/>
      <c r="AI42" s="3"/>
      <c r="AJ42" s="3"/>
      <c r="AK42" s="3"/>
      <c r="AL42" s="5"/>
      <c r="AM42" s="2"/>
      <c r="AN42" s="3"/>
      <c r="AO42" s="2"/>
      <c r="AP42" s="3"/>
      <c r="AQ42" s="3"/>
      <c r="AR42" s="3"/>
      <c r="AS42" s="30">
        <f>AR43-AR41</f>
        <v>-0.35000000000025722</v>
      </c>
      <c r="AT42" s="4"/>
      <c r="AU42" s="30">
        <f>AV41-AV43</f>
        <v>0.29999999999999005</v>
      </c>
      <c r="AV42" s="3"/>
      <c r="AW42" s="3"/>
      <c r="AX42" s="3"/>
      <c r="AY42" s="3"/>
      <c r="AZ42" s="5"/>
      <c r="BA42" s="2"/>
      <c r="BB42" s="3"/>
      <c r="BC42" s="2"/>
      <c r="BD42" s="3"/>
      <c r="BE42" s="3"/>
      <c r="BF42" s="3"/>
      <c r="BG42" s="30">
        <f>BF43-BF41</f>
        <v>-0.43985957046242774</v>
      </c>
      <c r="BH42" s="4"/>
      <c r="BI42" s="30">
        <f>BJ41-BJ43</f>
        <v>0.37037492016867324</v>
      </c>
      <c r="BJ42" s="3"/>
      <c r="BK42" s="3"/>
      <c r="BL42" s="3"/>
      <c r="BM42" s="3"/>
      <c r="BN42" s="5"/>
    </row>
    <row r="43" spans="2:67" x14ac:dyDescent="0.25">
      <c r="AA43" s="6"/>
      <c r="AB43" s="7"/>
      <c r="AC43" s="7"/>
      <c r="AD43" s="7">
        <f>SUM(AC48:AE48)</f>
        <v>2.9480332883343161</v>
      </c>
      <c r="AE43" s="12" t="s">
        <v>10</v>
      </c>
      <c r="AF43" s="8"/>
      <c r="AG43" s="12" t="s">
        <v>12</v>
      </c>
      <c r="AH43" s="7">
        <f>SUM(AD51,AH52,AH47)</f>
        <v>2.8499999999999899</v>
      </c>
      <c r="AI43" s="7"/>
      <c r="AJ43" s="7"/>
      <c r="AK43" s="7"/>
      <c r="AL43" s="10"/>
      <c r="AM43" s="6"/>
      <c r="AN43" s="7"/>
      <c r="AO43" s="6"/>
      <c r="AP43" s="7"/>
      <c r="AQ43" s="7"/>
      <c r="AR43" s="7">
        <f>SUM(AQ48:AS48)</f>
        <v>2.7999999999997263</v>
      </c>
      <c r="AS43" s="12" t="s">
        <v>10</v>
      </c>
      <c r="AT43" s="8"/>
      <c r="AU43" s="12" t="s">
        <v>12</v>
      </c>
      <c r="AV43" s="7">
        <f>SUM(AR51,AV52,AV47)</f>
        <v>2.5499999999999998</v>
      </c>
      <c r="AW43" s="7"/>
      <c r="AX43" s="7"/>
      <c r="AY43" s="7"/>
      <c r="AZ43" s="10"/>
      <c r="BA43" s="6"/>
      <c r="BB43" s="7"/>
      <c r="BC43" s="6"/>
      <c r="BD43" s="7"/>
      <c r="BE43" s="7"/>
      <c r="BF43" s="7">
        <f>SUM(BE48:BG48)</f>
        <v>2.6884756933341869</v>
      </c>
      <c r="BG43" s="12" t="s">
        <v>10</v>
      </c>
      <c r="BH43" s="8"/>
      <c r="BI43" s="12" t="s">
        <v>12</v>
      </c>
      <c r="BJ43" s="7">
        <f>SUM(BF51,BJ52,BJ47)</f>
        <v>2.7520128211468582</v>
      </c>
      <c r="BK43" s="7"/>
      <c r="BL43" s="7"/>
      <c r="BM43" s="7"/>
      <c r="BN43" s="10"/>
    </row>
    <row r="44" spans="2:67" x14ac:dyDescent="0.25">
      <c r="C44" s="2"/>
      <c r="D44" s="3"/>
      <c r="E44" s="3"/>
      <c r="F44" s="3"/>
      <c r="G44" s="3">
        <f>F45-F43</f>
        <v>1.7</v>
      </c>
      <c r="H44" s="14">
        <v>226</v>
      </c>
      <c r="I44" s="3"/>
      <c r="J44" s="3"/>
      <c r="K44" s="3"/>
      <c r="L44" s="3"/>
      <c r="M44" s="3"/>
      <c r="N44" s="5"/>
      <c r="O44" s="2"/>
      <c r="P44" s="3"/>
      <c r="Q44" s="3"/>
      <c r="R44" s="3"/>
      <c r="S44" s="3"/>
      <c r="T44" s="14">
        <v>111</v>
      </c>
      <c r="U44" s="3">
        <f>V43-V45</f>
        <v>-1.7</v>
      </c>
      <c r="V44" s="3"/>
      <c r="W44" s="3"/>
      <c r="X44" s="3"/>
      <c r="Y44" s="3"/>
      <c r="Z44" s="5"/>
      <c r="AA44" s="6"/>
      <c r="AB44" s="7"/>
      <c r="AC44" s="7"/>
      <c r="AD44" s="7"/>
      <c r="AE44" s="12"/>
      <c r="AF44" s="8"/>
      <c r="AG44" s="12"/>
      <c r="AH44" s="7"/>
      <c r="AI44" s="7"/>
      <c r="AJ44" s="7"/>
      <c r="AK44" s="7"/>
      <c r="AL44" s="10"/>
      <c r="AM44" s="6"/>
      <c r="AN44" s="7"/>
      <c r="AO44" s="6"/>
      <c r="AP44" s="7"/>
      <c r="AQ44" s="7"/>
      <c r="AR44" s="7"/>
      <c r="AS44" s="12"/>
      <c r="AT44" s="8"/>
      <c r="AU44" s="12"/>
      <c r="AV44" s="7"/>
      <c r="AW44" s="7"/>
      <c r="AX44" s="7"/>
      <c r="AY44" s="7"/>
      <c r="AZ44" s="10"/>
      <c r="BA44" s="6"/>
      <c r="BB44" s="7"/>
      <c r="BC44" s="6"/>
      <c r="BD44" s="7"/>
      <c r="BE44" s="7"/>
      <c r="BF44" s="7"/>
      <c r="BG44" s="12"/>
      <c r="BH44" s="8"/>
      <c r="BI44" s="12"/>
      <c r="BJ44" s="7"/>
      <c r="BK44" s="7"/>
      <c r="BL44" s="7"/>
      <c r="BM44" s="7"/>
      <c r="BN44" s="10"/>
    </row>
    <row r="45" spans="2:67" x14ac:dyDescent="0.25">
      <c r="C45" s="6"/>
      <c r="D45" s="7"/>
      <c r="E45" s="7"/>
      <c r="F45" s="7">
        <f>SUM(F48:G48)</f>
        <v>1.7</v>
      </c>
      <c r="G45" s="12" t="s">
        <v>10</v>
      </c>
      <c r="H45" s="23" t="s">
        <v>20</v>
      </c>
      <c r="I45" s="12"/>
      <c r="J45" s="7"/>
      <c r="K45" s="7"/>
      <c r="L45" s="7"/>
      <c r="M45" s="7"/>
      <c r="N45" s="10"/>
      <c r="O45" s="6"/>
      <c r="P45" s="7"/>
      <c r="Q45" s="7"/>
      <c r="R45" s="7"/>
      <c r="S45" s="12"/>
      <c r="T45" s="23" t="s">
        <v>19</v>
      </c>
      <c r="U45" s="12" t="s">
        <v>12</v>
      </c>
      <c r="V45" s="7">
        <f>SUM(R51,V48)</f>
        <v>1.7</v>
      </c>
      <c r="W45" s="7"/>
      <c r="X45" s="7"/>
      <c r="Y45" s="7"/>
      <c r="Z45" s="10"/>
      <c r="AA45" s="6"/>
      <c r="AB45" s="7"/>
      <c r="AC45" s="7"/>
      <c r="AD45" s="7"/>
      <c r="AE45" s="12"/>
      <c r="AF45" s="8"/>
      <c r="AG45" s="12"/>
      <c r="AH45" s="7"/>
      <c r="AI45" s="7"/>
      <c r="AJ45" s="7"/>
      <c r="AK45" s="7"/>
      <c r="AL45" s="10"/>
      <c r="AM45" s="6"/>
      <c r="AN45" s="7"/>
      <c r="AO45" s="6"/>
      <c r="AP45" s="7"/>
      <c r="AQ45" s="7"/>
      <c r="AR45" s="7"/>
      <c r="AS45" s="12"/>
      <c r="AT45" s="8"/>
      <c r="AU45" s="12"/>
      <c r="AV45" s="7"/>
      <c r="AW45" s="7"/>
      <c r="AX45" s="7"/>
      <c r="AY45" s="7"/>
      <c r="AZ45" s="10"/>
      <c r="BA45" s="6"/>
      <c r="BB45" s="7"/>
      <c r="BC45" s="6"/>
      <c r="BD45" s="7"/>
      <c r="BE45" s="7"/>
      <c r="BF45" s="7"/>
      <c r="BG45" s="12"/>
      <c r="BH45" s="8"/>
      <c r="BI45" s="12"/>
      <c r="BJ45" s="7"/>
      <c r="BK45" s="7"/>
      <c r="BL45" s="7"/>
      <c r="BM45" s="7"/>
      <c r="BN45" s="10"/>
    </row>
    <row r="46" spans="2:67" x14ac:dyDescent="0.25">
      <c r="C46" s="6"/>
      <c r="D46" s="7"/>
      <c r="E46" s="7"/>
      <c r="F46" s="7"/>
      <c r="G46" s="27">
        <v>180</v>
      </c>
      <c r="H46" s="23" t="s">
        <v>20</v>
      </c>
      <c r="I46" s="7"/>
      <c r="J46" s="7"/>
      <c r="K46" s="7"/>
      <c r="L46" s="7"/>
      <c r="M46" s="7"/>
      <c r="N46" s="10"/>
      <c r="O46" s="6"/>
      <c r="P46" s="7"/>
      <c r="Q46" s="7"/>
      <c r="R46" s="7"/>
      <c r="S46" s="7"/>
      <c r="T46" s="23" t="s">
        <v>19</v>
      </c>
      <c r="U46" s="27">
        <v>410</v>
      </c>
      <c r="V46" s="7"/>
      <c r="W46" s="7"/>
      <c r="X46" s="7"/>
      <c r="Y46" s="31"/>
      <c r="Z46" s="10"/>
      <c r="AA46" s="6"/>
      <c r="AB46" s="7"/>
      <c r="AC46" s="7"/>
      <c r="AD46" s="7"/>
      <c r="AE46" s="7"/>
      <c r="AF46" s="8"/>
      <c r="AG46" s="7"/>
      <c r="AH46" s="7"/>
      <c r="AI46" s="7"/>
      <c r="AJ46" s="7"/>
      <c r="AK46" s="7"/>
      <c r="AL46" s="10"/>
      <c r="AM46" s="6"/>
      <c r="AN46" s="7"/>
      <c r="AO46" s="6"/>
      <c r="AP46" s="7"/>
      <c r="AQ46" s="7"/>
      <c r="AR46" s="7"/>
      <c r="AS46" s="7"/>
      <c r="AT46" s="8"/>
      <c r="AU46" s="7"/>
      <c r="AV46" s="7"/>
      <c r="AW46" s="7"/>
      <c r="AX46" s="7"/>
      <c r="AY46" s="7"/>
      <c r="AZ46" s="10"/>
      <c r="BA46" s="6"/>
      <c r="BB46" s="7"/>
      <c r="BC46" s="6"/>
      <c r="BD46" s="7"/>
      <c r="BE46" s="7"/>
      <c r="BF46" s="7"/>
      <c r="BG46" s="7"/>
      <c r="BH46" s="8"/>
      <c r="BI46" s="7"/>
      <c r="BJ46" s="7"/>
      <c r="BK46" s="7"/>
      <c r="BL46" s="7"/>
      <c r="BM46" s="7"/>
      <c r="BN46" s="10"/>
    </row>
    <row r="47" spans="2:67" x14ac:dyDescent="0.25">
      <c r="C47" s="6"/>
      <c r="D47" s="7"/>
      <c r="E47" s="7"/>
      <c r="F47" s="7"/>
      <c r="G47" s="7"/>
      <c r="H47" s="23" t="s">
        <v>20</v>
      </c>
      <c r="I47" s="9"/>
      <c r="J47" s="7"/>
      <c r="K47" s="7"/>
      <c r="L47" s="7"/>
      <c r="M47" s="7"/>
      <c r="N47" s="10"/>
      <c r="O47" s="6"/>
      <c r="P47" s="7"/>
      <c r="Q47" s="7"/>
      <c r="R47" s="7"/>
      <c r="S47" s="7"/>
      <c r="T47" s="23" t="s">
        <v>19</v>
      </c>
      <c r="W47" s="7"/>
      <c r="X47" s="7"/>
      <c r="Y47" s="7"/>
      <c r="Z47" s="10"/>
      <c r="AA47" s="6"/>
      <c r="AB47" s="7"/>
      <c r="AC47" s="7"/>
      <c r="AD47" s="7"/>
      <c r="AE47" s="7"/>
      <c r="AF47" s="8"/>
      <c r="AG47" s="9" t="s">
        <v>14</v>
      </c>
      <c r="AH47" s="36">
        <f>'asgn vol'!AH47/targets!AH47</f>
        <v>1.1499999999999901</v>
      </c>
      <c r="AI47" s="7"/>
      <c r="AJ47" s="7"/>
      <c r="AK47" s="7"/>
      <c r="AL47" s="10"/>
      <c r="AM47" s="6"/>
      <c r="AN47" s="7"/>
      <c r="AO47" s="6"/>
      <c r="AP47" s="7"/>
      <c r="AQ47" s="7"/>
      <c r="AR47" s="7"/>
      <c r="AS47" s="7"/>
      <c r="AT47" s="8"/>
      <c r="AU47" s="9" t="s">
        <v>14</v>
      </c>
      <c r="AV47" s="36">
        <f>'asgn vol'!AV47/targets!AV47</f>
        <v>0.85</v>
      </c>
      <c r="AW47" s="7"/>
      <c r="AX47" s="7"/>
      <c r="AY47" s="7"/>
      <c r="AZ47" s="10"/>
      <c r="BA47" s="6"/>
      <c r="BB47" s="7"/>
      <c r="BC47" s="6"/>
      <c r="BD47" s="7"/>
      <c r="BE47" s="7"/>
      <c r="BF47" s="7"/>
      <c r="BG47" s="7"/>
      <c r="BH47" s="8"/>
      <c r="BI47" s="9" t="s">
        <v>14</v>
      </c>
      <c r="BJ47" s="36">
        <f>'asgn vol'!BJ47/targets!BJ47</f>
        <v>0.94112008726184404</v>
      </c>
      <c r="BK47" s="7"/>
      <c r="BL47" s="7"/>
      <c r="BM47" s="7"/>
      <c r="BN47" s="10"/>
    </row>
    <row r="48" spans="2:67" x14ac:dyDescent="0.25">
      <c r="C48" s="6">
        <f>SUM(I52,J48,F48)</f>
        <v>1.9352973340773869</v>
      </c>
      <c r="D48" s="7"/>
      <c r="F48" s="36">
        <f>'asgn vol'!F48/targets!F48</f>
        <v>0.85</v>
      </c>
      <c r="G48" s="36">
        <f>'asgn vol'!G48/targets!G48</f>
        <v>0.85</v>
      </c>
      <c r="H48" s="23" t="s">
        <v>20</v>
      </c>
      <c r="I48" s="9" t="s">
        <v>15</v>
      </c>
      <c r="J48" s="36">
        <f>'asgn vol'!J48/targets!J48</f>
        <v>1.085297334077387</v>
      </c>
      <c r="K48" s="7"/>
      <c r="L48" s="7"/>
      <c r="M48" s="7">
        <f>SUM(J47:J49)</f>
        <v>1.9352973340773869</v>
      </c>
      <c r="N48" s="10"/>
      <c r="O48" s="6">
        <f>SUM(U52,V49,Q48)</f>
        <v>1.9999999999999893</v>
      </c>
      <c r="P48" s="7"/>
      <c r="Q48" s="11"/>
      <c r="R48" s="11"/>
      <c r="S48" s="11"/>
      <c r="T48" s="23" t="s">
        <v>19</v>
      </c>
      <c r="U48" s="9" t="s">
        <v>14</v>
      </c>
      <c r="V48" s="36">
        <f>'asgn vol'!V48/targets!V48</f>
        <v>0.85</v>
      </c>
      <c r="W48" s="7"/>
      <c r="X48" s="7"/>
      <c r="Y48" s="7">
        <f>SUM(V48:V49)</f>
        <v>1.9999999999999893</v>
      </c>
      <c r="Z48" s="10"/>
      <c r="AA48" s="6">
        <f>SUM(AG52,AH48,AC48)</f>
        <v>2.7437499999999848</v>
      </c>
      <c r="AB48" s="7"/>
      <c r="AC48" s="36">
        <f>'asgn vol'!AC48/targets!AC48</f>
        <v>0.85</v>
      </c>
      <c r="AD48" s="36">
        <f>'asgn vol'!AD48/targets!AD48</f>
        <v>0.94803328833431821</v>
      </c>
      <c r="AE48" s="36">
        <f>'asgn vol'!AE48/targets!AE48</f>
        <v>1.1499999999999979</v>
      </c>
      <c r="AF48" s="8"/>
      <c r="AG48" s="9" t="s">
        <v>15</v>
      </c>
      <c r="AH48" s="36">
        <f>'asgn vol'!AH48/targets!AH48</f>
        <v>1.0437499999999849</v>
      </c>
      <c r="AI48" s="7"/>
      <c r="AJ48" s="7"/>
      <c r="AK48" s="7">
        <f>SUM(AH47:AH49)</f>
        <v>3.3437499999999649</v>
      </c>
      <c r="AL48" s="10"/>
      <c r="AM48" s="6">
        <f>SUM(AU52,AV48,AQ48)</f>
        <v>2.5499999999999998</v>
      </c>
      <c r="AN48" s="7"/>
      <c r="AO48" s="6"/>
      <c r="AP48" s="7"/>
      <c r="AQ48" s="36">
        <f>'asgn vol'!AQ48/targets!AQ48</f>
        <v>0.85</v>
      </c>
      <c r="AR48" s="36">
        <f>'asgn vol'!AR48/targets!AR48</f>
        <v>0.85</v>
      </c>
      <c r="AS48" s="36">
        <f>'asgn vol'!AS48/targets!AS48</f>
        <v>1.0999999999997261</v>
      </c>
      <c r="AT48" s="8"/>
      <c r="AU48" s="9" t="s">
        <v>15</v>
      </c>
      <c r="AV48" s="36">
        <f>'asgn vol'!AV48/targets!AV48</f>
        <v>0.85</v>
      </c>
      <c r="AW48" s="7"/>
      <c r="AX48" s="7"/>
      <c r="AY48" s="7">
        <f>SUM(AV47:AV49)</f>
        <v>2.8499986301716422</v>
      </c>
      <c r="AZ48" s="10"/>
      <c r="BA48" s="6">
        <f>SUM(BI52,BJ48,BE48)</f>
        <v>2.8269529341082231</v>
      </c>
      <c r="BB48" s="7"/>
      <c r="BC48" s="6"/>
      <c r="BD48" s="7"/>
      <c r="BE48" s="36">
        <f>'asgn vol'!BE48/targets!BE48</f>
        <v>0.87505874858465327</v>
      </c>
      <c r="BF48" s="36">
        <f>'asgn vol'!BF48/targets!BF48</f>
        <v>0.96246380152549171</v>
      </c>
      <c r="BG48" s="36">
        <f>'asgn vol'!BG48/targets!BG48</f>
        <v>0.85095314322404203</v>
      </c>
      <c r="BH48" s="8"/>
      <c r="BI48" s="9" t="s">
        <v>15</v>
      </c>
      <c r="BJ48" s="36">
        <f>'asgn vol'!BJ48/targets!BJ48</f>
        <v>0.98777740516363</v>
      </c>
      <c r="BK48" s="7"/>
      <c r="BL48" s="7"/>
      <c r="BM48" s="7">
        <f>SUM(BJ47:BJ49)</f>
        <v>2.928498245714938</v>
      </c>
      <c r="BN48" s="10"/>
    </row>
    <row r="49" spans="2:67" x14ac:dyDescent="0.25">
      <c r="C49" s="21" t="s">
        <v>15</v>
      </c>
      <c r="D49" s="7"/>
      <c r="F49" s="12">
        <v>8</v>
      </c>
      <c r="G49" s="12">
        <v>9</v>
      </c>
      <c r="H49" s="23" t="s">
        <v>20</v>
      </c>
      <c r="I49" s="9" t="s">
        <v>16</v>
      </c>
      <c r="J49" s="36">
        <f>'asgn vol'!J49/targets!J49</f>
        <v>0.85</v>
      </c>
      <c r="K49" s="7"/>
      <c r="L49" s="7"/>
      <c r="M49" s="20" t="s">
        <v>15</v>
      </c>
      <c r="N49" s="30">
        <f>M48-O48</f>
        <v>-6.4702665922602431E-2</v>
      </c>
      <c r="O49" s="21" t="s">
        <v>15</v>
      </c>
      <c r="P49" s="7"/>
      <c r="Q49" s="12"/>
      <c r="R49" s="12"/>
      <c r="S49" s="12"/>
      <c r="T49" s="23" t="s">
        <v>19</v>
      </c>
      <c r="U49" s="9" t="s">
        <v>15</v>
      </c>
      <c r="V49" s="36">
        <f>'asgn vol'!V49/targets!V49</f>
        <v>1.1499999999999895</v>
      </c>
      <c r="W49" s="7"/>
      <c r="X49" s="7"/>
      <c r="Y49" s="20" t="s">
        <v>15</v>
      </c>
      <c r="Z49" s="30">
        <f>Y48-AA48</f>
        <v>-0.74374999999999547</v>
      </c>
      <c r="AA49" s="21" t="s">
        <v>15</v>
      </c>
      <c r="AB49" s="7"/>
      <c r="AC49" s="12">
        <v>8</v>
      </c>
      <c r="AD49" s="12" t="s">
        <v>10</v>
      </c>
      <c r="AE49" s="12">
        <v>9</v>
      </c>
      <c r="AF49" s="8"/>
      <c r="AG49" s="9" t="s">
        <v>16</v>
      </c>
      <c r="AH49" s="36">
        <f>'asgn vol'!AH49/targets!AH49</f>
        <v>1.1499999999999901</v>
      </c>
      <c r="AI49" s="7"/>
      <c r="AJ49" s="7"/>
      <c r="AK49" s="20" t="s">
        <v>15</v>
      </c>
      <c r="AL49" s="30">
        <f>AK48-AM48</f>
        <v>0.79374999999996509</v>
      </c>
      <c r="AM49" s="21" t="s">
        <v>15</v>
      </c>
      <c r="AN49" s="20"/>
      <c r="AO49" s="21"/>
      <c r="AP49" s="7"/>
      <c r="AQ49" s="12">
        <v>8</v>
      </c>
      <c r="AR49" s="12" t="s">
        <v>10</v>
      </c>
      <c r="AS49" s="12">
        <v>9</v>
      </c>
      <c r="AT49" s="8"/>
      <c r="AU49" s="9" t="s">
        <v>16</v>
      </c>
      <c r="AV49" s="36">
        <f>'asgn vol'!AV49/targets!AV49</f>
        <v>1.1499986301716421</v>
      </c>
      <c r="AW49" s="7"/>
      <c r="AX49" s="7"/>
      <c r="AY49" s="20" t="s">
        <v>15</v>
      </c>
      <c r="AZ49" s="30">
        <f>AY48-BA48</f>
        <v>2.3045696063419108E-2</v>
      </c>
      <c r="BA49" s="21" t="s">
        <v>15</v>
      </c>
      <c r="BB49" s="20"/>
      <c r="BC49" s="21"/>
      <c r="BD49" s="7"/>
      <c r="BE49" s="12">
        <v>8</v>
      </c>
      <c r="BF49" s="12" t="s">
        <v>10</v>
      </c>
      <c r="BG49" s="12">
        <v>9</v>
      </c>
      <c r="BH49" s="8"/>
      <c r="BI49" s="9" t="s">
        <v>16</v>
      </c>
      <c r="BJ49" s="36">
        <f>'asgn vol'!BJ49/targets!BJ49</f>
        <v>0.99960075328946407</v>
      </c>
      <c r="BK49" s="7"/>
      <c r="BL49" s="7"/>
      <c r="BM49" s="20" t="s">
        <v>15</v>
      </c>
      <c r="BN49" s="30">
        <f>BM48-BO48</f>
        <v>2.928498245714938</v>
      </c>
    </row>
    <row r="50" spans="2:67" x14ac:dyDescent="0.25">
      <c r="B50" s="14">
        <v>503</v>
      </c>
      <c r="C50" s="13"/>
      <c r="D50" s="8"/>
      <c r="E50" s="8"/>
      <c r="F50" s="8"/>
      <c r="G50" s="8"/>
      <c r="H50" s="14">
        <v>227</v>
      </c>
      <c r="I50" s="8"/>
      <c r="J50" s="8"/>
      <c r="K50" s="8"/>
      <c r="L50" s="8"/>
      <c r="M50" s="8"/>
      <c r="N50" s="15"/>
      <c r="O50" s="13"/>
      <c r="P50" s="8"/>
      <c r="Q50" s="8"/>
      <c r="R50" s="8"/>
      <c r="S50" s="8"/>
      <c r="T50" s="14">
        <v>110</v>
      </c>
      <c r="U50" s="8"/>
      <c r="V50" s="8"/>
      <c r="W50" s="8"/>
      <c r="X50" s="8"/>
      <c r="Y50" s="8"/>
      <c r="Z50" s="15"/>
      <c r="AA50" s="13"/>
      <c r="AB50" s="8"/>
      <c r="AC50" s="8"/>
      <c r="AD50" s="8"/>
      <c r="AE50" s="8"/>
      <c r="AF50" s="14">
        <v>504</v>
      </c>
      <c r="AG50" s="8"/>
      <c r="AH50" s="8"/>
      <c r="AI50" s="8"/>
      <c r="AJ50" s="8"/>
      <c r="AK50" s="8"/>
      <c r="AL50" s="15"/>
      <c r="AM50" s="13"/>
      <c r="AN50" s="8"/>
      <c r="AO50" s="13"/>
      <c r="AP50" s="8"/>
      <c r="AQ50" s="8"/>
      <c r="AR50" s="8"/>
      <c r="AS50" s="8"/>
      <c r="AT50" s="14">
        <v>505</v>
      </c>
      <c r="AU50" s="8"/>
      <c r="AV50" s="8"/>
      <c r="AW50" s="8"/>
      <c r="AX50" s="8"/>
      <c r="AY50" s="8"/>
      <c r="AZ50" s="15"/>
      <c r="BA50" s="13"/>
      <c r="BB50" s="8"/>
      <c r="BC50" s="13"/>
      <c r="BD50" s="8"/>
      <c r="BE50" s="8"/>
      <c r="BF50" s="8"/>
      <c r="BG50" s="8"/>
      <c r="BH50" s="14">
        <v>506</v>
      </c>
      <c r="BI50" s="8"/>
      <c r="BJ50" s="8"/>
      <c r="BK50" s="8"/>
      <c r="BL50" s="8"/>
      <c r="BM50" s="8"/>
      <c r="BN50" s="15"/>
      <c r="BO50" s="14">
        <v>507</v>
      </c>
    </row>
    <row r="51" spans="2:67" x14ac:dyDescent="0.25">
      <c r="C51" s="21" t="s">
        <v>8</v>
      </c>
      <c r="D51" s="7"/>
      <c r="E51" s="7"/>
      <c r="F51" s="36">
        <f>'asgn vol'!F51/targets!F51</f>
        <v>0.91750273396538107</v>
      </c>
      <c r="G51" s="9" t="s">
        <v>8</v>
      </c>
      <c r="H51" s="23" t="s">
        <v>20</v>
      </c>
      <c r="I51" s="12"/>
      <c r="J51" s="12"/>
      <c r="K51" s="12"/>
      <c r="L51" s="7"/>
      <c r="M51" s="20" t="s">
        <v>8</v>
      </c>
      <c r="N51" s="30">
        <f>O52-M52</f>
        <v>0.23249726603461718</v>
      </c>
      <c r="O51" s="21" t="s">
        <v>8</v>
      </c>
      <c r="P51" s="7"/>
      <c r="Q51" s="7"/>
      <c r="R51" s="36">
        <f>'asgn vol'!R51/targets!R51</f>
        <v>0.85</v>
      </c>
      <c r="S51" s="9" t="s">
        <v>7</v>
      </c>
      <c r="T51" s="23" t="s">
        <v>19</v>
      </c>
      <c r="U51" s="12" t="s">
        <v>11</v>
      </c>
      <c r="V51" s="12" t="s">
        <v>13</v>
      </c>
      <c r="X51" s="7"/>
      <c r="Y51" s="20" t="s">
        <v>8</v>
      </c>
      <c r="Z51" s="30">
        <f>AA52-Y52</f>
        <v>0.76874999999999316</v>
      </c>
      <c r="AA51" s="21" t="s">
        <v>8</v>
      </c>
      <c r="AB51" s="7"/>
      <c r="AC51" s="7"/>
      <c r="AD51" s="36">
        <f>'asgn vol'!AD51/targets!AD51</f>
        <v>0.85</v>
      </c>
      <c r="AE51" s="9" t="s">
        <v>7</v>
      </c>
      <c r="AF51" s="8"/>
      <c r="AG51" s="12" t="s">
        <v>11</v>
      </c>
      <c r="AH51" s="12" t="s">
        <v>12</v>
      </c>
      <c r="AI51" s="12" t="s">
        <v>13</v>
      </c>
      <c r="AJ51" s="7"/>
      <c r="AK51" s="20" t="s">
        <v>8</v>
      </c>
      <c r="AL51" s="30">
        <f>AM52-AK52</f>
        <v>-0.72874999999996337</v>
      </c>
      <c r="AM51" s="21" t="s">
        <v>8</v>
      </c>
      <c r="AN51" s="20"/>
      <c r="AO51" s="21"/>
      <c r="AP51" s="7"/>
      <c r="AQ51" s="7"/>
      <c r="AR51" s="36">
        <f>'asgn vol'!AR51/targets!AR51</f>
        <v>0.85</v>
      </c>
      <c r="AS51" s="9" t="s">
        <v>7</v>
      </c>
      <c r="AT51" s="8"/>
      <c r="AU51" s="12" t="s">
        <v>11</v>
      </c>
      <c r="AV51" s="12" t="s">
        <v>12</v>
      </c>
      <c r="AW51" s="12" t="s">
        <v>13</v>
      </c>
      <c r="AX51" s="7"/>
      <c r="AY51" s="20" t="s">
        <v>8</v>
      </c>
      <c r="AZ51" s="30">
        <f>BA52-AY52</f>
        <v>-0.639999999999743</v>
      </c>
      <c r="BA51" s="21" t="s">
        <v>8</v>
      </c>
      <c r="BB51" s="20"/>
      <c r="BC51" s="21"/>
      <c r="BD51" s="7"/>
      <c r="BE51" s="7"/>
      <c r="BF51" s="36">
        <f>'asgn vol'!BF51/targets!BF51</f>
        <v>0.85</v>
      </c>
      <c r="BG51" s="9" t="s">
        <v>7</v>
      </c>
      <c r="BH51" s="8"/>
      <c r="BI51" s="12" t="s">
        <v>11</v>
      </c>
      <c r="BJ51" s="12" t="s">
        <v>12</v>
      </c>
      <c r="BK51" s="12" t="s">
        <v>13</v>
      </c>
      <c r="BL51" s="7"/>
      <c r="BM51" s="20" t="s">
        <v>8</v>
      </c>
      <c r="BN51" s="30">
        <f>BO52-BM52</f>
        <v>-2.7028306859167421</v>
      </c>
    </row>
    <row r="52" spans="2:67" x14ac:dyDescent="0.25">
      <c r="C52" s="6">
        <f>SUM(F51:F52)</f>
        <v>1.767502733965381</v>
      </c>
      <c r="D52" s="7"/>
      <c r="E52" s="7"/>
      <c r="F52" s="36">
        <f>'asgn vol'!F52/targets!F52</f>
        <v>0.85</v>
      </c>
      <c r="G52" s="9" t="s">
        <v>9</v>
      </c>
      <c r="H52" s="23" t="s">
        <v>20</v>
      </c>
      <c r="I52" s="11"/>
      <c r="J52" s="11"/>
      <c r="K52" s="11"/>
      <c r="L52" s="7"/>
      <c r="M52" s="7">
        <f>SUM(G48,F51,K52)</f>
        <v>1.767502733965381</v>
      </c>
      <c r="N52" s="10"/>
      <c r="O52" s="6">
        <f>SUM(R51:R53)</f>
        <v>1.9999999999999982</v>
      </c>
      <c r="P52" s="7"/>
      <c r="Q52" s="7"/>
      <c r="R52" s="36">
        <f>'asgn vol'!R52/targets!R52</f>
        <v>1.1499999999999984</v>
      </c>
      <c r="S52" s="9" t="s">
        <v>8</v>
      </c>
      <c r="T52" s="23" t="s">
        <v>19</v>
      </c>
      <c r="U52" s="36">
        <f>'asgn vol'!U52/targets!U52</f>
        <v>0.85</v>
      </c>
      <c r="V52" s="36">
        <f>'asgn vol'!V52/targets!V52</f>
        <v>0.85</v>
      </c>
      <c r="X52" s="7"/>
      <c r="Y52" s="7">
        <f>SUM(S48,R52,V52)</f>
        <v>1.9999999999999982</v>
      </c>
      <c r="Z52" s="10"/>
      <c r="AA52" s="6">
        <f>SUM(AD51:AD53)</f>
        <v>2.7687499999999914</v>
      </c>
      <c r="AB52" s="7"/>
      <c r="AC52" s="7"/>
      <c r="AD52" s="36">
        <f>'asgn vol'!AD52/targets!AD52</f>
        <v>1.0687499999999912</v>
      </c>
      <c r="AE52" s="9" t="s">
        <v>8</v>
      </c>
      <c r="AF52" s="8"/>
      <c r="AG52" s="36">
        <f>'asgn vol'!AG52/targets!AG52</f>
        <v>0.85</v>
      </c>
      <c r="AH52" s="36">
        <f>'asgn vol'!AH52/targets!AH52</f>
        <v>0.85</v>
      </c>
      <c r="AI52" s="36">
        <f>'asgn vol'!AI52/targets!AI52</f>
        <v>1.1499999999999966</v>
      </c>
      <c r="AJ52" s="7"/>
      <c r="AK52" s="7">
        <f>SUM(AE48,AD52,AI52)</f>
        <v>3.3687499999999861</v>
      </c>
      <c r="AL52" s="10"/>
      <c r="AM52" s="6">
        <f>SUM(AR51:AR53)</f>
        <v>2.6400000000000228</v>
      </c>
      <c r="AN52" s="7"/>
      <c r="AO52" s="6"/>
      <c r="AP52" s="7"/>
      <c r="AQ52" s="7"/>
      <c r="AR52" s="36">
        <f>'asgn vol'!AR52/targets!AR52</f>
        <v>0.94000000000002293</v>
      </c>
      <c r="AS52" s="9" t="s">
        <v>8</v>
      </c>
      <c r="AT52" s="8"/>
      <c r="AU52" s="36">
        <f>'asgn vol'!AU52/targets!AU52</f>
        <v>0.85</v>
      </c>
      <c r="AV52" s="36">
        <f>'asgn vol'!AV52/targets!AV52</f>
        <v>0.85</v>
      </c>
      <c r="AW52" s="36">
        <f>'asgn vol'!AW52/targets!AW52</f>
        <v>1.1499999999999935</v>
      </c>
      <c r="AX52" s="7"/>
      <c r="AY52" s="7">
        <f>SUM(AS48,AR52,AW52)</f>
        <v>3.1899999999997428</v>
      </c>
      <c r="AZ52" s="10"/>
      <c r="BA52" s="6">
        <f>SUM(BF51:BF53)</f>
        <v>2.5499999999999998</v>
      </c>
      <c r="BB52" s="7"/>
      <c r="BC52" s="6"/>
      <c r="BD52" s="7"/>
      <c r="BE52" s="7"/>
      <c r="BF52" s="36">
        <f>'asgn vol'!BF52/targets!BF52</f>
        <v>0.85</v>
      </c>
      <c r="BG52" s="9" t="s">
        <v>8</v>
      </c>
      <c r="BH52" s="8"/>
      <c r="BI52" s="36">
        <f>'asgn vol'!BI52/targets!BI52</f>
        <v>0.96411678035993997</v>
      </c>
      <c r="BJ52" s="36">
        <f>'asgn vol'!BJ52/targets!BJ52</f>
        <v>0.96089273388501395</v>
      </c>
      <c r="BK52" s="36">
        <f>'asgn vol'!BK52/targets!BK52</f>
        <v>1.0018775426927</v>
      </c>
      <c r="BL52" s="7"/>
      <c r="BM52" s="7">
        <f>SUM(BG48,BF52,BK52)</f>
        <v>2.7028306859167421</v>
      </c>
      <c r="BN52" s="10"/>
    </row>
    <row r="53" spans="2:67" x14ac:dyDescent="0.25">
      <c r="C53" s="6"/>
      <c r="D53" s="7"/>
      <c r="E53" s="7"/>
      <c r="H53" s="23" t="s">
        <v>20</v>
      </c>
      <c r="I53" s="7"/>
      <c r="J53" s="7"/>
      <c r="K53" s="7"/>
      <c r="L53" s="7"/>
      <c r="M53" s="7"/>
      <c r="N53" s="10"/>
      <c r="O53" s="6"/>
      <c r="P53" s="7"/>
      <c r="Q53" s="7"/>
      <c r="R53" s="7"/>
      <c r="S53" s="9"/>
      <c r="T53" s="23" t="s">
        <v>19</v>
      </c>
      <c r="U53" s="7"/>
      <c r="V53" s="7"/>
      <c r="W53" s="7"/>
      <c r="X53" s="7"/>
      <c r="Y53" s="7"/>
      <c r="Z53" s="10"/>
      <c r="AA53" s="6"/>
      <c r="AB53" s="7"/>
      <c r="AC53" s="7"/>
      <c r="AD53" s="36">
        <f>'asgn vol'!AD53/targets!AD53</f>
        <v>0.85</v>
      </c>
      <c r="AE53" s="9" t="s">
        <v>9</v>
      </c>
      <c r="AF53" s="8"/>
      <c r="AG53" s="7"/>
      <c r="AH53" s="7"/>
      <c r="AI53" s="7"/>
      <c r="AJ53" s="7"/>
      <c r="AK53" s="7"/>
      <c r="AL53" s="10"/>
      <c r="AM53" s="6"/>
      <c r="AN53" s="7"/>
      <c r="AO53" s="6"/>
      <c r="AP53" s="7"/>
      <c r="AQ53" s="7"/>
      <c r="AR53" s="36">
        <f>'asgn vol'!AR53/targets!AR53</f>
        <v>0.85</v>
      </c>
      <c r="AS53" s="9" t="s">
        <v>9</v>
      </c>
      <c r="AT53" s="8"/>
      <c r="AU53" s="7"/>
      <c r="AV53" s="7"/>
      <c r="AW53" s="7"/>
      <c r="AX53" s="7"/>
      <c r="AY53" s="7"/>
      <c r="AZ53" s="10"/>
      <c r="BA53" s="6"/>
      <c r="BB53" s="7"/>
      <c r="BC53" s="6"/>
      <c r="BD53" s="7"/>
      <c r="BE53" s="7"/>
      <c r="BF53" s="36">
        <f>'asgn vol'!BF53/targets!BF53</f>
        <v>0.85</v>
      </c>
      <c r="BG53" s="9" t="s">
        <v>9</v>
      </c>
      <c r="BH53" s="8"/>
      <c r="BI53" s="7"/>
      <c r="BJ53" s="7"/>
      <c r="BK53" s="7"/>
      <c r="BL53" s="7"/>
      <c r="BM53" s="7"/>
      <c r="BN53" s="10"/>
    </row>
    <row r="54" spans="2:67" x14ac:dyDescent="0.25">
      <c r="C54" s="6"/>
      <c r="D54" s="7"/>
      <c r="E54" s="7"/>
      <c r="F54" s="7"/>
      <c r="G54" s="27">
        <v>890</v>
      </c>
      <c r="H54" s="23" t="s">
        <v>20</v>
      </c>
      <c r="I54" s="7"/>
      <c r="J54" s="7"/>
      <c r="K54" s="7"/>
      <c r="L54" s="7"/>
      <c r="M54" s="7"/>
      <c r="N54" s="10"/>
      <c r="O54" s="6"/>
      <c r="P54" s="7"/>
      <c r="Q54" s="7"/>
      <c r="R54" s="7"/>
      <c r="S54" s="7"/>
      <c r="T54" s="23" t="s">
        <v>19</v>
      </c>
      <c r="U54" s="27">
        <v>890</v>
      </c>
      <c r="V54" s="7"/>
      <c r="W54" s="7"/>
      <c r="X54" s="7"/>
      <c r="Y54" s="7"/>
      <c r="Z54" s="10"/>
      <c r="AA54" s="6"/>
      <c r="AB54" s="7"/>
      <c r="AC54" s="7"/>
      <c r="AD54" s="7"/>
      <c r="AE54" s="7"/>
      <c r="AF54" s="8"/>
      <c r="AG54" s="7"/>
      <c r="AH54" s="7"/>
      <c r="AI54" s="7"/>
      <c r="AJ54" s="7"/>
      <c r="AK54" s="7"/>
      <c r="AL54" s="10"/>
      <c r="AM54" s="6"/>
      <c r="AN54" s="7"/>
      <c r="AO54" s="6"/>
      <c r="AP54" s="7"/>
      <c r="AQ54" s="7"/>
      <c r="AR54" s="7"/>
      <c r="AS54" s="7"/>
      <c r="AT54" s="8"/>
      <c r="AU54" s="7"/>
      <c r="AV54" s="7"/>
      <c r="AW54" s="7"/>
      <c r="AX54" s="7"/>
      <c r="AY54" s="7"/>
      <c r="AZ54" s="10"/>
      <c r="BA54" s="6"/>
      <c r="BB54" s="7"/>
      <c r="BC54" s="6"/>
      <c r="BD54" s="7"/>
      <c r="BE54" s="7"/>
      <c r="BF54" s="7"/>
      <c r="BG54" s="7"/>
      <c r="BH54" s="8"/>
      <c r="BI54" s="7"/>
      <c r="BJ54" s="7"/>
      <c r="BK54" s="7"/>
      <c r="BL54" s="7"/>
      <c r="BM54" s="7"/>
      <c r="BN54" s="10"/>
    </row>
    <row r="55" spans="2:67" x14ac:dyDescent="0.25">
      <c r="C55" s="16"/>
      <c r="D55" s="17"/>
      <c r="E55" s="17"/>
      <c r="F55" s="17">
        <f>SUM(J49,F52)</f>
        <v>1.7</v>
      </c>
      <c r="G55" s="22" t="s">
        <v>10</v>
      </c>
      <c r="H55" s="14">
        <v>228</v>
      </c>
      <c r="I55" s="22"/>
      <c r="J55" s="17"/>
      <c r="K55" s="17"/>
      <c r="L55" s="17"/>
      <c r="M55" s="17"/>
      <c r="N55" s="19"/>
      <c r="O55" s="16"/>
      <c r="P55" s="17"/>
      <c r="Q55" s="17"/>
      <c r="R55" s="17"/>
      <c r="S55" s="22"/>
      <c r="T55" s="14">
        <v>109</v>
      </c>
      <c r="U55" s="22" t="s">
        <v>12</v>
      </c>
      <c r="V55" s="17">
        <f>SUM(U52:V52)</f>
        <v>1.7</v>
      </c>
      <c r="W55" s="17"/>
      <c r="X55" s="17"/>
      <c r="Y55" s="17"/>
      <c r="Z55" s="19"/>
      <c r="AA55" s="16"/>
      <c r="AB55" s="17"/>
      <c r="AC55" s="17"/>
      <c r="AD55" s="17">
        <f>SUM(AH49,AD48,AD53)</f>
        <v>2.9480332883343086</v>
      </c>
      <c r="AE55" s="22" t="s">
        <v>10</v>
      </c>
      <c r="AF55" s="18"/>
      <c r="AG55" s="22" t="s">
        <v>12</v>
      </c>
      <c r="AH55" s="17">
        <f>SUM(AG52:AI52)</f>
        <v>2.8499999999999965</v>
      </c>
      <c r="AI55" s="17"/>
      <c r="AJ55" s="17"/>
      <c r="AK55" s="17"/>
      <c r="AL55" s="19"/>
      <c r="AM55" s="16"/>
      <c r="AN55" s="17"/>
      <c r="AO55" s="16"/>
      <c r="AP55" s="17"/>
      <c r="AQ55" s="17"/>
      <c r="AR55" s="17">
        <f>SUM(AV49,AR48,AR53)</f>
        <v>2.8499986301716422</v>
      </c>
      <c r="AS55" s="22" t="s">
        <v>10</v>
      </c>
      <c r="AT55" s="18"/>
      <c r="AU55" s="22" t="s">
        <v>12</v>
      </c>
      <c r="AV55" s="17">
        <f>SUM(AU52:AW52)</f>
        <v>2.8499999999999934</v>
      </c>
      <c r="AW55" s="17"/>
      <c r="AX55" s="17"/>
      <c r="AY55" s="17"/>
      <c r="AZ55" s="19"/>
      <c r="BA55" s="16"/>
      <c r="BB55" s="17"/>
      <c r="BC55" s="16"/>
      <c r="BD55" s="17"/>
      <c r="BE55" s="17"/>
      <c r="BF55" s="17">
        <f>SUM(BJ49,BF48,BF53)</f>
        <v>2.8120645548149557</v>
      </c>
      <c r="BG55" s="22" t="s">
        <v>10</v>
      </c>
      <c r="BH55" s="18"/>
      <c r="BI55" s="22" t="s">
        <v>12</v>
      </c>
      <c r="BJ55" s="17">
        <f>SUM(BI52:BK52)</f>
        <v>2.9268870569376539</v>
      </c>
      <c r="BK55" s="17"/>
      <c r="BL55" s="17"/>
      <c r="BM55" s="17"/>
      <c r="BN55" s="19"/>
    </row>
    <row r="56" spans="2:67" x14ac:dyDescent="0.25">
      <c r="AF56" s="14">
        <v>500</v>
      </c>
      <c r="AT56" s="14">
        <v>501</v>
      </c>
      <c r="BH56" s="14">
        <v>502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132</vt:i4>
      </vt:variant>
    </vt:vector>
  </HeadingPairs>
  <TitlesOfParts>
    <vt:vector size="138" baseType="lpstr">
      <vt:lpstr>exported_turns</vt:lpstr>
      <vt:lpstr>turn_ids</vt:lpstr>
      <vt:lpstr>targets</vt:lpstr>
      <vt:lpstr>stesso results</vt:lpstr>
      <vt:lpstr>asgn vol</vt:lpstr>
      <vt:lpstr>pct of tgt</vt:lpstr>
      <vt:lpstr>targets!TURN_109_110_227</vt:lpstr>
      <vt:lpstr>targets!TURN_109_110_504</vt:lpstr>
      <vt:lpstr>targets!TURN_110_227_228</vt:lpstr>
      <vt:lpstr>targets!TURN_110_227_503</vt:lpstr>
      <vt:lpstr>targets!TURN_110_504_500</vt:lpstr>
      <vt:lpstr>targets!TURN_110_504_505</vt:lpstr>
      <vt:lpstr>targets!TURN_110_504_509</vt:lpstr>
      <vt:lpstr>targets!TURN_112_113_224</vt:lpstr>
      <vt:lpstr>targets!TURN_112_113_509</vt:lpstr>
      <vt:lpstr>targets!TURN_113_224_225</vt:lpstr>
      <vt:lpstr>targets!TURN_113_224_508</vt:lpstr>
      <vt:lpstr>targets!TURN_113_509_320</vt:lpstr>
      <vt:lpstr>targets!TURN_113_509_504</vt:lpstr>
      <vt:lpstr>targets!TURN_113_509_510</vt:lpstr>
      <vt:lpstr>targets!TURN_223_224_113</vt:lpstr>
      <vt:lpstr>targets!TURN_223_224_508</vt:lpstr>
      <vt:lpstr>targets!TURN_224_113_114</vt:lpstr>
      <vt:lpstr>targets!TURN_224_113_509</vt:lpstr>
      <vt:lpstr>targets!TURN_226_227_110</vt:lpstr>
      <vt:lpstr>targets!TURN_226_227_503</vt:lpstr>
      <vt:lpstr>targets!TURN_227_110_111</vt:lpstr>
      <vt:lpstr>targets!TURN_227_110_504</vt:lpstr>
      <vt:lpstr>targets!TURN_319_320_408</vt:lpstr>
      <vt:lpstr>targets!TURN_319_320_509</vt:lpstr>
      <vt:lpstr>targets!TURN_320_408_409</vt:lpstr>
      <vt:lpstr>targets!TURN_320_408_513</vt:lpstr>
      <vt:lpstr>targets!TURN_320_509_113</vt:lpstr>
      <vt:lpstr>targets!TURN_320_509_504</vt:lpstr>
      <vt:lpstr>targets!TURN_320_509_510</vt:lpstr>
      <vt:lpstr>targets!TURN_322_323_405</vt:lpstr>
      <vt:lpstr>targets!TURN_322_323_510</vt:lpstr>
      <vt:lpstr>targets!TURN_323_405_406</vt:lpstr>
      <vt:lpstr>targets!TURN_323_405_514</vt:lpstr>
      <vt:lpstr>targets!TURN_323_510_505</vt:lpstr>
      <vt:lpstr>targets!TURN_323_510_509</vt:lpstr>
      <vt:lpstr>targets!TURN_323_510_511</vt:lpstr>
      <vt:lpstr>targets!TURN_325_326_402</vt:lpstr>
      <vt:lpstr>targets!TURN_325_326_511</vt:lpstr>
      <vt:lpstr>targets!TURN_326_402_403</vt:lpstr>
      <vt:lpstr>targets!TURN_326_402_515</vt:lpstr>
      <vt:lpstr>targets!TURN_326_511_506</vt:lpstr>
      <vt:lpstr>targets!TURN_326_511_510</vt:lpstr>
      <vt:lpstr>targets!TURN_326_511_512</vt:lpstr>
      <vt:lpstr>targets!TURN_401_402_326</vt:lpstr>
      <vt:lpstr>targets!TURN_401_402_515</vt:lpstr>
      <vt:lpstr>targets!TURN_402_326_327</vt:lpstr>
      <vt:lpstr>targets!TURN_402_326_511</vt:lpstr>
      <vt:lpstr>targets!TURN_404_405_323</vt:lpstr>
      <vt:lpstr>targets!TURN_404_405_514</vt:lpstr>
      <vt:lpstr>targets!TURN_405_323_324</vt:lpstr>
      <vt:lpstr>targets!TURN_405_323_510</vt:lpstr>
      <vt:lpstr>targets!TURN_407_408_320</vt:lpstr>
      <vt:lpstr>targets!TURN_407_408_513</vt:lpstr>
      <vt:lpstr>targets!TURN_408_320_321</vt:lpstr>
      <vt:lpstr>targets!TURN_408_320_509</vt:lpstr>
      <vt:lpstr>targets!TURN_500_504_110</vt:lpstr>
      <vt:lpstr>targets!TURN_500_504_505</vt:lpstr>
      <vt:lpstr>targets!TURN_500_504_509</vt:lpstr>
      <vt:lpstr>targets!TURN_501_505_504</vt:lpstr>
      <vt:lpstr>targets!TURN_501_505_506</vt:lpstr>
      <vt:lpstr>targets!TURN_501_505_510</vt:lpstr>
      <vt:lpstr>targets!TURN_502_506_505</vt:lpstr>
      <vt:lpstr>targets!TURN_502_506_507</vt:lpstr>
      <vt:lpstr>targets!TURN_502_506_511</vt:lpstr>
      <vt:lpstr>targets!TURN_503_227_110</vt:lpstr>
      <vt:lpstr>targets!TURN_503_227_228</vt:lpstr>
      <vt:lpstr>targets!TURN_504_110_111</vt:lpstr>
      <vt:lpstr>targets!TURN_504_110_227</vt:lpstr>
      <vt:lpstr>targets!TURN_504_505_501</vt:lpstr>
      <vt:lpstr>targets!TURN_504_505_506</vt:lpstr>
      <vt:lpstr>targets!TURN_504_505_510</vt:lpstr>
      <vt:lpstr>targets!TURN_504_509_113</vt:lpstr>
      <vt:lpstr>targets!TURN_504_509_320</vt:lpstr>
      <vt:lpstr>targets!TURN_504_509_510</vt:lpstr>
      <vt:lpstr>targets!TURN_505_504_110</vt:lpstr>
      <vt:lpstr>targets!TURN_505_504_500</vt:lpstr>
      <vt:lpstr>targets!TURN_505_504_509</vt:lpstr>
      <vt:lpstr>targets!TURN_505_506_502</vt:lpstr>
      <vt:lpstr>targets!TURN_505_506_507</vt:lpstr>
      <vt:lpstr>targets!TURN_505_506_511</vt:lpstr>
      <vt:lpstr>targets!TURN_505_510_323</vt:lpstr>
      <vt:lpstr>targets!TURN_505_510_509</vt:lpstr>
      <vt:lpstr>targets!TURN_505_510_511</vt:lpstr>
      <vt:lpstr>targets!TURN_506_505_501</vt:lpstr>
      <vt:lpstr>targets!TURN_506_505_504</vt:lpstr>
      <vt:lpstr>targets!TURN_506_505_510</vt:lpstr>
      <vt:lpstr>targets!TURN_506_511_326</vt:lpstr>
      <vt:lpstr>targets!TURN_506_511_510</vt:lpstr>
      <vt:lpstr>targets!TURN_506_511_512</vt:lpstr>
      <vt:lpstr>targets!TURN_507_506_502</vt:lpstr>
      <vt:lpstr>targets!TURN_507_506_505</vt:lpstr>
      <vt:lpstr>targets!TURN_507_506_511</vt:lpstr>
      <vt:lpstr>targets!TURN_508_224_113</vt:lpstr>
      <vt:lpstr>targets!TURN_508_224_225</vt:lpstr>
      <vt:lpstr>targets!TURN_509_113_114</vt:lpstr>
      <vt:lpstr>targets!TURN_509_113_224</vt:lpstr>
      <vt:lpstr>targets!TURN_509_320_321</vt:lpstr>
      <vt:lpstr>targets!TURN_509_320_408</vt:lpstr>
      <vt:lpstr>targets!TURN_509_504_110</vt:lpstr>
      <vt:lpstr>targets!TURN_509_504_500</vt:lpstr>
      <vt:lpstr>targets!TURN_509_504_505</vt:lpstr>
      <vt:lpstr>targets!TURN_509_510_323</vt:lpstr>
      <vt:lpstr>targets!TURN_509_510_505</vt:lpstr>
      <vt:lpstr>targets!TURN_509_510_511</vt:lpstr>
      <vt:lpstr>targets!TURN_510_323_324</vt:lpstr>
      <vt:lpstr>targets!TURN_510_323_405</vt:lpstr>
      <vt:lpstr>targets!TURN_510_505_501</vt:lpstr>
      <vt:lpstr>targets!TURN_510_505_504</vt:lpstr>
      <vt:lpstr>targets!TURN_510_505_506</vt:lpstr>
      <vt:lpstr>targets!TURN_510_509_113</vt:lpstr>
      <vt:lpstr>targets!TURN_510_509_320</vt:lpstr>
      <vt:lpstr>targets!TURN_510_509_504</vt:lpstr>
      <vt:lpstr>targets!TURN_510_511_326</vt:lpstr>
      <vt:lpstr>targets!TURN_510_511_506</vt:lpstr>
      <vt:lpstr>targets!TURN_510_511_512</vt:lpstr>
      <vt:lpstr>targets!TURN_511_326_327</vt:lpstr>
      <vt:lpstr>targets!TURN_511_326_402</vt:lpstr>
      <vt:lpstr>targets!TURN_511_506_502</vt:lpstr>
      <vt:lpstr>targets!TURN_511_506_505</vt:lpstr>
      <vt:lpstr>targets!TURN_511_506_507</vt:lpstr>
      <vt:lpstr>targets!TURN_511_510_323</vt:lpstr>
      <vt:lpstr>targets!TURN_511_510_505</vt:lpstr>
      <vt:lpstr>targets!TURN_511_510_509</vt:lpstr>
      <vt:lpstr>targets!TURN_512_511_326</vt:lpstr>
      <vt:lpstr>targets!TURN_512_511_506</vt:lpstr>
      <vt:lpstr>targets!TURN_512_511_510</vt:lpstr>
      <vt:lpstr>targets!TURN_513_408_320</vt:lpstr>
      <vt:lpstr>targets!TURN_513_408_409</vt:lpstr>
      <vt:lpstr>targets!TURN_514_405_323</vt:lpstr>
      <vt:lpstr>targets!TURN_514_405_406</vt:lpstr>
      <vt:lpstr>targets!TURN_515_402_326</vt:lpstr>
      <vt:lpstr>targets!TURN_515_402_403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md</cp:lastModifiedBy>
  <dcterms:created xsi:type="dcterms:W3CDTF">2023-03-12T15:24:03Z</dcterms:created>
  <dcterms:modified xsi:type="dcterms:W3CDTF">2023-03-14T15:07:17Z</dcterms:modified>
</cp:coreProperties>
</file>